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un 2026" sheetId="1" r:id="rId5"/>
    <sheet name="事業損益サマリー" sheetId="2" r:id="rId6"/>
    <sheet name="Inventory Summary" sheetId="3" r:id="rId7"/>
    <sheet name="Price List" sheetId="4" r:id="rId8"/>
    <sheet name="Profit Summary" sheetId="5" r:id="rId9"/>
    <sheet name="NOEVIR Profit" sheetId="6" r:id="rId10"/>
    <sheet name="SUQQU Profit" sheetId="7" r:id="rId11"/>
    <sheet name="Blanc Etoile Profit" sheetId="8" r:id="rId12"/>
    <sheet name="Celvoke Profit" sheetId="9" r:id="rId13"/>
    <sheet name="RMK Profit" sheetId="10" r:id="rId14"/>
    <sheet name="THREE Profit" sheetId="11" r:id="rId15"/>
    <sheet name="NOEVIR個別発注" sheetId="12" r:id="rId16"/>
    <sheet name="NOEVIR Inventory" sheetId="13" r:id="rId17"/>
    <sheet name="Blanc Etoile Inventory" sheetId="14" r:id="rId18"/>
    <sheet name="SUQQU Inventory" sheetId="15" r:id="rId19"/>
    <sheet name="RMK Inventory" sheetId="16" r:id="rId20"/>
    <sheet name="Celvoke Inventory" sheetId="17" r:id="rId21"/>
    <sheet name="THREE Inventory" sheetId="18" r:id="rId22"/>
    <sheet name="ADDICTION Inventory" sheetId="19" r:id="rId23"/>
    <sheet name="Jul 2026" sheetId="20" r:id="rId24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<sst xmlns="http://schemas.openxmlformats.org/spreadsheetml/2006/main" uniqueCount="407">
  <si>
    <t>Salon de Singa  —  June 2026  (店頭販売)</t>
  </si>
  <si>
    <t>Date</t>
  </si>
  <si>
    <t>Time</t>
  </si>
  <si>
    <t>First Name</t>
  </si>
  <si>
    <t>Last Name</t>
  </si>
  <si>
    <t>Session SGD</t>
  </si>
  <si>
    <t>Session Type</t>
  </si>
  <si>
    <t>購入商品</t>
  </si>
  <si>
    <t>商品合計 SGD</t>
  </si>
  <si>
    <t>Notes</t>
  </si>
  <si>
    <t>Summary</t>
  </si>
  <si>
    <t>2026/6/18</t>
  </si>
  <si>
    <t>11:00</t>
  </si>
  <si>
    <t>Michelle</t>
  </si>
  <si>
    <t>Poh</t>
  </si>
  <si>
    <t>Personal Makeup Session</t>
  </si>
  <si>
    <t>Session count</t>
  </si>
  <si>
    <t>12:00</t>
  </si>
  <si>
    <t>Emiko</t>
  </si>
  <si>
    <t>Ishida</t>
  </si>
  <si>
    <t>NOEVIR Concealer&amp;Highlighter, Eyeliner (MACH LINER, Dark Brown)</t>
  </si>
  <si>
    <t>Session SGD total</t>
  </si>
  <si>
    <t>13:00</t>
  </si>
  <si>
    <t>Fion</t>
  </si>
  <si>
    <t>Histed</t>
  </si>
  <si>
    <t>Skin Conditioner, Toner (Lotion Aqua), Moisturising Emulsion (Emulsion Aqua), Mascara</t>
  </si>
  <si>
    <t>Retail SGD total</t>
  </si>
  <si>
    <t>14:00</t>
  </si>
  <si>
    <t>Charmaine</t>
  </si>
  <si>
    <t>Low</t>
  </si>
  <si>
    <t>Mascara</t>
  </si>
  <si>
    <t>Grand total SGD</t>
  </si>
  <si>
    <t>2026/6/19</t>
  </si>
  <si>
    <t>Narissa</t>
  </si>
  <si>
    <t>S</t>
  </si>
  <si>
    <t>Veana</t>
  </si>
  <si>
    <t>Lee</t>
  </si>
  <si>
    <t>Nicole</t>
  </si>
  <si>
    <t>Lu</t>
  </si>
  <si>
    <t>NOEVIR Concealer&amp;Highlighter</t>
  </si>
  <si>
    <t>Cheryl</t>
  </si>
  <si>
    <t>Chan</t>
  </si>
  <si>
    <t>NOEVIR Concealer&amp;Highlighter, Celvoke Eyebrow powder, eyeshadow brush (A), eyeshadow brush (D), eyeshadow brush (refill)</t>
  </si>
  <si>
    <t>2026/6/20</t>
  </si>
  <si>
    <t>10:00</t>
  </si>
  <si>
    <t>Jessica</t>
  </si>
  <si>
    <t>Novia</t>
  </si>
  <si>
    <t>RMK Poreless Base (Skin Base 01)</t>
  </si>
  <si>
    <t>Gwend</t>
  </si>
  <si>
    <t>Lim</t>
  </si>
  <si>
    <t>Eyeliner (MACH LINER, Dark Brown), NOEVIR Concealer&amp;Highlighter, SUQQU Foundation #115, RMK Poreless Base (primer)</t>
  </si>
  <si>
    <t>Kar Enn</t>
  </si>
  <si>
    <t>Ho</t>
  </si>
  <si>
    <t>Eyeliner (MACH LINER, Pink Brown), SUQQU Mascara (Black), SUQQU Foundation #110</t>
  </si>
  <si>
    <t>Angela</t>
  </si>
  <si>
    <t>Ong</t>
  </si>
  <si>
    <t>15:00</t>
  </si>
  <si>
    <t>Shermin</t>
  </si>
  <si>
    <t>Xie</t>
  </si>
  <si>
    <t>RMK Makeup Base (primer), eyeshadow brush (D), eyeshadow brush (refill)</t>
  </si>
  <si>
    <t>16:00</t>
  </si>
  <si>
    <t>Shirley</t>
  </si>
  <si>
    <t>Deng</t>
  </si>
  <si>
    <t>RMK Poreless Base (primer), SUQQU Foundation #110, NOEVIR Concealer&amp;Highlighter</t>
  </si>
  <si>
    <t>17:30</t>
  </si>
  <si>
    <t>Jennifer</t>
  </si>
  <si>
    <t>Leow</t>
  </si>
  <si>
    <t>Skin Conditioner, Toner, Moisturising Emulsion, NOEVIR Blanc Protector, RMK Poreless Base (primer), NOEVIR Concealer&amp;Highlighter, SUQQU Foundation #110, Celvoke Eyebrow powder</t>
  </si>
  <si>
    <t>2026/6/21</t>
  </si>
  <si>
    <t>Serene</t>
  </si>
  <si>
    <t>Liew</t>
  </si>
  <si>
    <t>Skin Conditioner, Toner, Moisturising Emulsion, RMK Poreless Base (primer), NOEVIR Concealer&amp;Highlighter, Eyeliner (MACH LINER, Dark Brown)</t>
  </si>
  <si>
    <t>Sophia</t>
  </si>
  <si>
    <t>Susanto</t>
  </si>
  <si>
    <t>NOEVIR Concealer&amp;Highlighter, concealer brush (M), Eyeliner (MACH LINER, Pink Brown)</t>
  </si>
  <si>
    <t>Satomi</t>
  </si>
  <si>
    <t>Fujimoto</t>
  </si>
  <si>
    <t>NOEVIR Eyebrow Brush</t>
  </si>
  <si>
    <t>Su</t>
  </si>
  <si>
    <t>H</t>
  </si>
  <si>
    <t>Sunscreen (UV gel), Eyeliner (MACH LINER, Dark Brown), SUQQU Mascara (Black), NOEVIR Concealer&amp;Highlighter</t>
  </si>
  <si>
    <t>Kristy</t>
  </si>
  <si>
    <t>T</t>
  </si>
  <si>
    <t>SUQQU Mascara (Black), Eyeliner (MACH LINER, Dark Brown), NOEVIR eyebrow brush, Celvoke Eyebrow powder, RMK Makeup Base (primer), SUQQU Foundation #110, NOEVIR Concealer&amp;Highlighter, Sunscreen (UV gel), eyeshadow brush (A), eyeshadow brush (D), eyeshadow brush (refill), RMK face powder</t>
  </si>
  <si>
    <t>Kumiko</t>
  </si>
  <si>
    <t>Nagamori</t>
  </si>
  <si>
    <t>Jean</t>
  </si>
  <si>
    <t>Wong</t>
  </si>
  <si>
    <t>NOEVIR Concealer&amp;Highlighter, Eyeliner (MACH LINER, Dark Brown), Moisturising Emulsion</t>
  </si>
  <si>
    <t>2026/6/23</t>
  </si>
  <si>
    <t>Kit mei</t>
  </si>
  <si>
    <t>Pan</t>
  </si>
  <si>
    <t>NOEVIR Eye Cream (Biosign, promo), Blanc Protector</t>
  </si>
  <si>
    <t>Liling</t>
  </si>
  <si>
    <t>Liu</t>
  </si>
  <si>
    <t>NOEVIR Moisturising Emulsion (Emulsion Aqua, promo)</t>
  </si>
  <si>
    <t>Kesinee</t>
  </si>
  <si>
    <t>Kongthong</t>
  </si>
  <si>
    <t>Celvoke Eyebrow powder, SUQQU Mascara (Black), RMK eyeshadow brush (A)</t>
  </si>
  <si>
    <t>Amanda</t>
  </si>
  <si>
    <t>NOEVIR Concealer&amp;Highlighter, SUQQU Mascara (Black), Eyeliner (MACH LINER, Dark Brown), RMK eyeshadow brush (A), Celvoke Eyebrow powder</t>
  </si>
  <si>
    <t>—</t>
  </si>
  <si>
    <t>Ashley</t>
  </si>
  <si>
    <t>Retail only (no session)</t>
  </si>
  <si>
    <t>RMK Poreless Base (primer, special 44), SUQQU Foundation #115</t>
  </si>
  <si>
    <t>翌日受取 / pickup next day</t>
  </si>
  <si>
    <t>Retail (delivery)</t>
  </si>
  <si>
    <t>Celvoke Eyebrow powder, RMK face powder (special 50), Delivery 5</t>
  </si>
  <si>
    <t>配送 Serangoon North / 送料SGD5込</t>
  </si>
  <si>
    <t>2026/6/24</t>
  </si>
  <si>
    <t>Emily</t>
  </si>
  <si>
    <t>Chung</t>
  </si>
  <si>
    <t>Retail (delivery, free)</t>
  </si>
  <si>
    <t>ADDICTION Silky Balm Stick (primer), NOEVIR Cleansing Lotion (N2), Skin Conditioner, Toner (Lotion Aqua N4)</t>
  </si>
  <si>
    <t>配送無料 / free delivery</t>
  </si>
  <si>
    <t>Taylor</t>
  </si>
  <si>
    <t>Voon</t>
  </si>
  <si>
    <t>NOEVIR Concealer&amp;Highlighter, SUQQU Foundation #115, RMK Poreless Base (primer), Eyeliner (MACH LINER, Dark Brown)</t>
  </si>
  <si>
    <t>平野</t>
  </si>
  <si>
    <t>明日香</t>
  </si>
  <si>
    <t>2026/6/25</t>
  </si>
  <si>
    <t>Pei Lin</t>
  </si>
  <si>
    <t>Chua</t>
  </si>
  <si>
    <t>NOEVIR Concealer&amp;Highlighter, Eyeliner (MACH LINER, Dark Brown), Celvoke Eyebrow powder, SUQQU Mascara (Black), NOEVIR Sunscreen (Raysela)</t>
  </si>
  <si>
    <t>Erin</t>
  </si>
  <si>
    <t>Leung</t>
  </si>
  <si>
    <t>SUQQU Foundation #115</t>
  </si>
  <si>
    <t>Jocelyn</t>
  </si>
  <si>
    <t>Yong</t>
  </si>
  <si>
    <t>Chua (2nd)</t>
  </si>
  <si>
    <t>Retail (店頭受取・決済済)</t>
  </si>
  <si>
    <t>RMK Makeup Base (primer), RMK Setting Powder (face powder)</t>
  </si>
  <si>
    <t>決済済 / 店頭お渡し</t>
  </si>
  <si>
    <t>Liu (2nd)</t>
  </si>
  <si>
    <t>Retail (配送・決済済)</t>
  </si>
  <si>
    <t>配送完了 / 送料SGD4 Noriko負担</t>
  </si>
  <si>
    <t>Erica</t>
  </si>
  <si>
    <t>YT</t>
  </si>
  <si>
    <t>Eyeliner (MACH LINER, Dark Brown)</t>
  </si>
  <si>
    <t>明日店頭お渡し</t>
  </si>
  <si>
    <t>Mei Ling</t>
  </si>
  <si>
    <t>NOEVIR Concealer&amp;Highlighter, NOEVIR Screw Brush</t>
  </si>
  <si>
    <t>明後日店頭お渡し</t>
  </si>
  <si>
    <t>Sarah</t>
  </si>
  <si>
    <t>Ziling</t>
  </si>
  <si>
    <t>NOEVIR Concealer&amp;Highlighter ×2</t>
  </si>
  <si>
    <t>配送完了 / 送料SGD4 Noriko負担(2個1便)</t>
  </si>
  <si>
    <t>2026/6/27</t>
  </si>
  <si>
    <t>Leong</t>
  </si>
  <si>
    <t>NOEVIR Skin Conditioner, Toner (Lotion Aqua N4), ADDICTION Silky Balm Stick (primer)</t>
  </si>
  <si>
    <t>Chiean Hong</t>
  </si>
  <si>
    <t>Ang</t>
  </si>
  <si>
    <t>NOEVIR Concealer&amp;Highlighter, RMK Makeup Base (primer), ADDICTION Silky Balm Stick (primer), NOEVIR Eye Cream (Biosign)</t>
  </si>
  <si>
    <t>Tan Li</t>
  </si>
  <si>
    <t>Shan</t>
  </si>
  <si>
    <t>NOEVIR Concealer&amp;Highlighter, THREE Concealer Brush (M)</t>
  </si>
  <si>
    <t>Rachel</t>
  </si>
  <si>
    <t>NOEVIR Concealer&amp;Highlighter, Celvoke Eyebrow powder, RMK Makeup Base (primer), ADDICTION Silky Balm Stick (primer), SUQQU Mascara (Black), NOEVIR Skin Conditioner</t>
  </si>
  <si>
    <t>Ivy</t>
  </si>
  <si>
    <t>Serafico</t>
  </si>
  <si>
    <t>NOEVIR Concealer&amp;Highlighter, SUQQU Mascara (Black)</t>
  </si>
  <si>
    <t>Sally</t>
  </si>
  <si>
    <t>Hsu</t>
  </si>
  <si>
    <t>Celvoke Eyebrow powder, ADDICTION Silky Balm Stick (primer), RMK Poreless Base (primer)</t>
  </si>
  <si>
    <t>Soh Wee</t>
  </si>
  <si>
    <t>Lie</t>
  </si>
  <si>
    <t>Josephine</t>
  </si>
  <si>
    <t>NOEVIR Concealer&amp;Highlighter, Eyeliner (MACH LINER, Dark Brown ×2), Eyeliner (MACH LINER, Black ×1)</t>
  </si>
  <si>
    <t>配送・送料無料(フリーシッピングDM)</t>
  </si>
  <si>
    <t>2026/6/28</t>
  </si>
  <si>
    <t>Elaine</t>
  </si>
  <si>
    <t>ADDICTION Silky Balm Stick (primer), Eyeliner (MACH LINER, Dark Brown), NOEVIR Eyebrow Brush</t>
  </si>
  <si>
    <t>Serena</t>
  </si>
  <si>
    <t>Li</t>
  </si>
  <si>
    <t>NOEVIR Blanc Protector</t>
  </si>
  <si>
    <t>Su Fong</t>
  </si>
  <si>
    <t>Yew</t>
  </si>
  <si>
    <t>NOEVIR Concealer&amp;Highlighter, RMK Setting Powder (face powder), Eyeliner (MACH LINER, Dark Brown)</t>
  </si>
  <si>
    <t>Montano</t>
  </si>
  <si>
    <t>Elisa</t>
  </si>
  <si>
    <t>SUQQU The Foundation #115, ADDICTION Silky Balm Stick (primer), Eyeliner (MACH LINER, Dark Brown), SUQQU Mascara (Black), Celvoke Eyebrow powder, RMK Makeup Base (primer), NOEVIR Eyebrow Brush, NOEVIR Concealer&amp;Highlighter</t>
  </si>
  <si>
    <t>Sweeney</t>
  </si>
  <si>
    <t>Lachman</t>
  </si>
  <si>
    <t>Ong Jin</t>
  </si>
  <si>
    <t>Xia</t>
  </si>
  <si>
    <t>NOEVIR Skin Conditioner, NOEVIR Toner (Lotion Aqua), Celvoke Indicate Eyebrow Powder</t>
  </si>
  <si>
    <t>配送・送料無料(フリーシッピングDM) / Blk 4 Bedok Reservoir View, The Clearwater #03-13, S479233 / 98763241</t>
  </si>
  <si>
    <t>2026/6/30</t>
  </si>
  <si>
    <t>Midori</t>
  </si>
  <si>
    <t>Yamanaka</t>
  </si>
  <si>
    <t>物販なし</t>
  </si>
  <si>
    <t>Tan</t>
  </si>
  <si>
    <t>2026/6/1</t>
  </si>
  <si>
    <t>Beverly</t>
  </si>
  <si>
    <t>Retail (個別発注・事前受注)</t>
  </si>
  <si>
    <t>NOEVIR Speciale Lotion / Speciale Cream / Extra Cleansing Massage Cream / Extra Cleansing Foam</t>
  </si>
  <si>
    <t>注文番号2026-B-0601 / PayNow QR送付済 / Special Discount -137適用後</t>
  </si>
  <si>
    <t>Salon de Singa 事業損益サマリー (June+July 2026, 20日分)</t>
  </si>
  <si>
    <t>1 SGD = 124円。物販は経費なし(仕入原価・送料のみ)。完売時=仕入287個が標準価格で全て売れた場合の予測。</t>
  </si>
  <si>
    <t>区分</t>
  </si>
  <si>
    <t>項目</t>
  </si>
  <si>
    <t>金額(SGD)</t>
  </si>
  <si>
    <t>金額(¥)</t>
  </si>
  <si>
    <t>備考</t>
  </si>
  <si>
    <t>セッション</t>
  </si>
  <si>
    <t>セッション売上 (SGD250×90名)</t>
  </si>
  <si>
    <t>ほぼ満席</t>
  </si>
  <si>
    <t>会場費 (売上の20%)</t>
  </si>
  <si>
    <t>広告費</t>
  </si>
  <si>
    <t>¥300,000</t>
  </si>
  <si>
    <t>　セッション利益</t>
  </si>
  <si>
    <t>物販</t>
  </si>
  <si>
    <t>物販粗利 (完売時・経費なし)</t>
  </si>
  <si>
    <t>在庫287個完売時</t>
  </si>
  <si>
    <t>個別発注 (スペチアーレ等4点)</t>
  </si>
  <si>
    <t>送料自己負担</t>
  </si>
  <si>
    <t>　物販利益</t>
  </si>
  <si>
    <t>出張経費</t>
  </si>
  <si>
    <t>ホテル</t>
  </si>
  <si>
    <t>¥400,000</t>
  </si>
  <si>
    <t>フライト</t>
  </si>
  <si>
    <t>¥100,000</t>
  </si>
  <si>
    <t>最終</t>
  </si>
  <si>
    <t>最終利益 (完売時予測)</t>
  </si>
  <si>
    <t>ホテル・フライト控除後</t>
  </si>
  <si>
    <t>シナリオ別 最終利益</t>
  </si>
  <si>
    <t>シナリオ</t>
  </si>
  <si>
    <t>最終利益(SGD)</t>
  </si>
  <si>
    <t>最終利益(¥)</t>
  </si>
  <si>
    <t>説明</t>
  </si>
  <si>
    <t>物販ゼロ (セッションのみ)</t>
  </si>
  <si>
    <t>セッション利益−出張費。物販が全く売れない場合の下限</t>
  </si>
  <si>
    <t>現時点確定分 (4日/65個)</t>
  </si>
  <si>
    <t>別掲(セッション一部+物販4日分)</t>
  </si>
  <si>
    <t>完売時 (上限予測)</t>
  </si>
  <si>
    <t>在庫222個を完売した場合</t>
  </si>
  <si>
    <t>全ブランド 仕入れ・在庫・利益サマリー (June 2026)  ※送料込み</t>
  </si>
  <si>
    <t>仕入原価: NOEVIRは定価×0.8÷124、他は定価÷124。送料は金額按分で配賦済(NOEVIR¥27,800/その他¥16,700)。実現粗利=4日分セッション販売の粗利。</t>
  </si>
  <si>
    <t>ブランド</t>
  </si>
  <si>
    <t>仕入個数</t>
  </si>
  <si>
    <t>販売個数</t>
  </si>
  <si>
    <t>在庫数</t>
  </si>
  <si>
    <t>仕入総コスト(SGD)</t>
  </si>
  <si>
    <t>売上(SGD)</t>
  </si>
  <si>
    <t>実現粗利(SGD)</t>
  </si>
  <si>
    <t>在庫評価額(SGD)</t>
  </si>
  <si>
    <t>NOEVIR</t>
  </si>
  <si>
    <t>SUQQU</t>
  </si>
  <si>
    <t>Blanc Etoile</t>
  </si>
  <si>
    <t>RMK</t>
  </si>
  <si>
    <t>THREE</t>
  </si>
  <si>
    <t>Celvoke</t>
  </si>
  <si>
    <t>ADDICTION</t>
  </si>
  <si>
    <t>合計</t>
  </si>
  <si>
    <t>総仕入個数</t>
  </si>
  <si>
    <t>総販売個数(4日)</t>
  </si>
  <si>
    <t>総在庫個数</t>
  </si>
  <si>
    <t>仕入総コスト(送料込,SGD)</t>
  </si>
  <si>
    <t>物販売上(4日,SGD)</t>
  </si>
  <si>
    <t>実現粗利(4日,SGD)</t>
  </si>
  <si>
    <t>在庫評価額(送料込,SGD)</t>
  </si>
  <si>
    <t>送料合計(SGD)</t>
  </si>
  <si>
    <t>June 2026 Price List</t>
  </si>
  <si>
    <t>Product</t>
  </si>
  <si>
    <t>Price SGD</t>
  </si>
  <si>
    <t>Skin Care</t>
  </si>
  <si>
    <t>Skin Conditioner</t>
  </si>
  <si>
    <t>Promotion from 6/21 (was 66)</t>
  </si>
  <si>
    <t>Toner</t>
  </si>
  <si>
    <t>Promotion from 6/21 (was 67)</t>
  </si>
  <si>
    <t>Moisturising Emulsion</t>
  </si>
  <si>
    <t>Promotion from 6/21 (was 78)</t>
  </si>
  <si>
    <t>Eye Cream</t>
  </si>
  <si>
    <t>Promotion (usual 184)</t>
  </si>
  <si>
    <t>Sunscreen &amp; Whitening serum</t>
  </si>
  <si>
    <t>Promotion (usual 144)</t>
  </si>
  <si>
    <t>Sunscreen</t>
  </si>
  <si>
    <t>Wrinkle Treatment &amp; Brightening Day Cream SPF50+</t>
  </si>
  <si>
    <t>Makeup</t>
  </si>
  <si>
    <t>RMK Makeup Base (primer)</t>
  </si>
  <si>
    <t>RMK Poreless Base (primer)</t>
  </si>
  <si>
    <t>Concealer &amp; Highlighter</t>
  </si>
  <si>
    <t>Foundation</t>
  </si>
  <si>
    <t>Eyebrow powder</t>
  </si>
  <si>
    <t>face powder</t>
  </si>
  <si>
    <t>RMK Silk Fit Setting Powder</t>
  </si>
  <si>
    <t>Eyeliner</t>
  </si>
  <si>
    <t>Brush</t>
  </si>
  <si>
    <t>lip brush</t>
  </si>
  <si>
    <t>screw brush</t>
  </si>
  <si>
    <t>concealer brush (M)</t>
  </si>
  <si>
    <t>eyeshadow brush (A)</t>
  </si>
  <si>
    <t>eyeshadow brush (D)</t>
  </si>
  <si>
    <t>eyeshadow brush (refill)</t>
  </si>
  <si>
    <t>eyebrow brush</t>
  </si>
  <si>
    <t>物販 利益サマリー (June 2026)  ※送料別途・後日反映</t>
  </si>
  <si>
    <t>個数</t>
  </si>
  <si>
    <t>原価合計(SGD)</t>
  </si>
  <si>
    <t>粗利(SGD)</t>
  </si>
  <si>
    <t>粗利率</t>
  </si>
  <si>
    <t>全ブランド合計</t>
  </si>
  <si>
    <t>NOEVIR 物販 利益表 (June 2026)  ※送料別途・後日反映</t>
  </si>
  <si>
    <t>原価 = 日本定価(税込) × 0.8 ÷ 124円/SGD。Eyebrow Brush は税込¥770基準。</t>
  </si>
  <si>
    <t>商品名</t>
  </si>
  <si>
    <t>日本定価(税込¥)</t>
  </si>
  <si>
    <t>仕入原価(SGD)</t>
  </si>
  <si>
    <t>販売単価(SGD)</t>
  </si>
  <si>
    <t>48</t>
  </si>
  <si>
    <t>66 / 60</t>
  </si>
  <si>
    <t>67 / 62</t>
  </si>
  <si>
    <t>78 / 70</t>
  </si>
  <si>
    <t>Sunscreen (UV gel)</t>
  </si>
  <si>
    <t>44</t>
  </si>
  <si>
    <t>Eyebrow Brush</t>
  </si>
  <si>
    <t>14</t>
  </si>
  <si>
    <t>Blanc Protector</t>
  </si>
  <si>
    <t>124</t>
  </si>
  <si>
    <t>SUQQU Profit 物販 利益表 (June 2026)  ※送料別途・後日反映</t>
  </si>
  <si>
    <t>原価 = 日本定価(税込) ÷ 124円/SGD（NOEVIR以外は定価仕入れ）。粗利 = 販売価格 − 原価。</t>
  </si>
  <si>
    <t>Foundation #110</t>
  </si>
  <si>
    <t>120</t>
  </si>
  <si>
    <t>Foundation #115</t>
  </si>
  <si>
    <t>60</t>
  </si>
  <si>
    <t>Blanc Etoile Profit 物販 利益表 (June 2026)  ※送料別途・後日反映</t>
  </si>
  <si>
    <t>MACH LINER (Dark Brown)</t>
  </si>
  <si>
    <t>38</t>
  </si>
  <si>
    <t>MACH LINER (Pink Brown)</t>
  </si>
  <si>
    <t>Celvoke Profit 物販 利益表 (June 2026)  ※送料別途・後日反映</t>
  </si>
  <si>
    <t>RMK 物販 利益表 (June 2026)  ※送料別途・後日反映</t>
  </si>
  <si>
    <t>原価 = 日本定価(税込) ÷ 124円/SGD（NOEVIR以外は定価仕入れ）。粗利 = 販売価格 − 原価。 refill は2個入り¥660で1商品。</t>
  </si>
  <si>
    <t>Poreless Base (primer)</t>
  </si>
  <si>
    <t>52</t>
  </si>
  <si>
    <t>Makeup Base (primer)</t>
  </si>
  <si>
    <t>33</t>
  </si>
  <si>
    <t>26</t>
  </si>
  <si>
    <t>8</t>
  </si>
  <si>
    <t>THREE 物販 利益表 (June 2026)  ※送料別途・後日反映</t>
  </si>
  <si>
    <t>40</t>
  </si>
  <si>
    <t>NOEVIR 個別発注 (今回お渡し)  ※4点まとめてSGD1,300で販売</t>
  </si>
  <si>
    <t>仕入原価 = 日本定価(税込) × 0.8 ÷ 124円/SGD（NOEVIRは8掛け仕入れ）。販売はセット4点まとめてSGD1,300。</t>
  </si>
  <si>
    <t>仕入原価合計(SGD)</t>
  </si>
  <si>
    <t>スペチアーレ ローション</t>
  </si>
  <si>
    <t>スペチアーレ クリーム</t>
  </si>
  <si>
    <t>エクストラ 薬用クレンジングフォーム (新110g)</t>
  </si>
  <si>
    <t>エクストラ 薬用クレンジングマッサージクリーム (新130g)</t>
  </si>
  <si>
    <t>仕入原価合計</t>
  </si>
  <si>
    <t>販売価格(4点セット, SGD)</t>
  </si>
  <si>
    <t>NOEVIR 仕入れ・在庫・利益管理 (June 2026)  ※送料込み</t>
  </si>
  <si>
    <t>仕入原価 = (定価税込×0.8 ÷124) × 送料配賦係数(+4.52%)。送料は金額按分。実現粗利=販売済売上−(送料込原価×販売個数)。</t>
  </si>
  <si>
    <t>仕入原価(SGD,送料込)</t>
  </si>
  <si>
    <t>販売済売上(SGD)</t>
  </si>
  <si>
    <t>実現粗利率</t>
  </si>
  <si>
    <t>Sunscreen (Raysela UV gel)</t>
  </si>
  <si>
    <t>Toner (Lotion Aqua)</t>
  </si>
  <si>
    <t>Moisturising Emulsion (Emulsion Aqua)</t>
  </si>
  <si>
    <t>Eye Cream (Biosign)</t>
  </si>
  <si>
    <t>Lip Brush</t>
  </si>
  <si>
    <t>Screw Brush</t>
  </si>
  <si>
    <t>Cleansing Lotion (N2) ※前回繰越</t>
  </si>
  <si>
    <t>仕入総コスト(送料込,SGD):</t>
  </si>
  <si>
    <t>※レイセラ(Sunscreen) +3個 追加発注済(送料確定後に原価上乗せ)。</t>
  </si>
  <si>
    <t>うち送料配賦(SGD): 224.19</t>
  </si>
  <si>
    <t>※配送送料(Noriko負担実費): 6/25 Liling/Sarah/Ziling 各SGD4 = 計SGD12。物販粗利とは別の販管費として計上。</t>
  </si>
  <si>
    <t>Blanc Etoile 仕入れ・在庫・利益管理 (June 2026)  ※送料込み</t>
  </si>
  <si>
    <t>仕入原価 = (定価税込 ÷124) × 送料配賦係数(+2.19%)。送料は金額按分。実現粗利=販売済売上−(送料込原価×販売個数)。</t>
  </si>
  <si>
    <t>MACH LINER (BK)</t>
  </si>
  <si>
    <t>在庫評価額(送料込,SGD):</t>
  </si>
  <si>
    <t>※MACH LINER DBR +3・PBR +3個 追加発注済(送料確定後に原価上乗せ)。BK(黒)は動きなく追加なし。</t>
  </si>
  <si>
    <t>SUQQU 仕入れ・在庫・利益管理 (June 2026)  ※送料込み</t>
  </si>
  <si>
    <t>Mascara (3D Eyelash, Black)</t>
  </si>
  <si>
    <t>The Foundation #110</t>
  </si>
  <si>
    <t>The Foundation #115</t>
  </si>
  <si>
    <t>うち送料配賦(SGD): 59.78</t>
  </si>
  <si>
    <t>※#110 +3個追加発注(送料は確定後に上乗せ)。初日に#115未入荷で#110が先行販売した誤差あり、本来#115の方が売れ筋。</t>
  </si>
  <si>
    <t>※#110 +3・マスカラ +4個 追加発注済(EC上限のため都度1個ずつ)。マスカラは最量販品、次回も追加検討。送料確定後に原価上乗せ。</t>
  </si>
  <si>
    <t>RMK 仕入れ・在庫・利益管理 (June 2026)  ※送料込み</t>
  </si>
  <si>
    <t>Setting Powder (face powder)</t>
  </si>
  <si>
    <t>Eyeshadow Brush (A)</t>
  </si>
  <si>
    <t>Eyeshadow Brush (B)</t>
  </si>
  <si>
    <t>Eyeshadow Brush (D)</t>
  </si>
  <si>
    <t>Eyeshadow Brush (refill)</t>
  </si>
  <si>
    <t>うち送料配賦(SGD): 34.22</t>
  </si>
  <si>
    <t>※新規発注: A+5・D+8・refill+5・Poreless+8個 を追加発注済(送料は確定後に上乗せ)。Porelessは本来10個希望、計8個発注済(在庫11)・残り2個は次回。Kristy様取り置きDは販売済計上、入荷後お渡し。</t>
  </si>
  <si>
    <t>Celvoke 仕入れ・在庫・利益管理 (June 2026)  ※送料込み</t>
  </si>
  <si>
    <t>Indicate Eyebrow Powder</t>
  </si>
  <si>
    <t>うち送料配賦(SGD): 13.61</t>
  </si>
  <si>
    <t>THREE 仕入れ・在庫・利益管理 (June 2026)  ※送料込み</t>
  </si>
  <si>
    <t>Concealer Brush (M)</t>
  </si>
  <si>
    <t>うち送料配賦(SGD): 2.92</t>
  </si>
  <si>
    <t>ADDICTION 仕入れ・在庫・利益管理 (June 2026)  ※送料込み</t>
  </si>
  <si>
    <t>Silky Balm Stick (primer)</t>
  </si>
  <si>
    <t>うち送料配賦(SGD): 11.08</t>
  </si>
  <si>
    <t>2026/7/1</t>
  </si>
  <si>
    <t>Teo</t>
  </si>
  <si>
    <t>RMK Make Up Base / NOEVIR Milk Lotion Aqua N5</t>
  </si>
  <si>
    <t>決済済 11:48</t>
  </si>
  <si>
    <t>Dawn</t>
  </si>
  <si>
    <t>Ng</t>
  </si>
  <si>
    <t>Blanc Etoile Mach Liner DBR / THREE Concealer Brush M / NOEVIR Screw Brush</t>
  </si>
  <si>
    <t>決済済 13:01</t>
  </si>
  <si>
    <t>Yvonne</t>
  </si>
  <si>
    <t>SUQQU The Liquid Foundation 115 / RMK Poreless Base 01 / NOEVIR Concealer N / RMK Silk Fit Setting Powder</t>
  </si>
  <si>
    <t>決済済 14:02</t>
  </si>
  <si>
    <t>Jenifer</t>
  </si>
  <si>
    <t>Peh</t>
  </si>
  <si>
    <t>Blanc Etoile Mach Liner DBR / NOEVIR Concealer N</t>
  </si>
  <si>
    <t>決済済 15:18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</si>
</sst>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15">
    <font>
      <sz val="11"/>
      <color indexed="8"/>
      <name val="Calibri"/>
    </font>
    <font>
      <sz val="12"/>
      <color indexed="8"/>
      <name val="ヒラギノ角ゴ ProN W3"/>
    </font>
    <font>
      <sz val="15"/>
      <color indexed="8"/>
      <name val="Calibri"/>
    </font>
    <font>
      <sz val="14"/>
      <color indexed="8"/>
      <name val="Arial"/>
    </font>
    <font>
      <sz val="10"/>
      <color indexed="8"/>
      <name val="Arial"/>
    </font>
    <font>
      <sz val="10"/>
      <color indexed="8"/>
      <name val="Noto Sans CJK SC"/>
    </font>
    <font>
      <sz val="12"/>
      <color indexed="8"/>
      <name val="Arial"/>
    </font>
    <font>
      <sz val="15"/>
      <color indexed="8"/>
      <name val="Arial"/>
    </font>
    <font>
      <sz val="9"/>
      <color indexed="8"/>
      <name val="Arial"/>
    </font>
    <font>
      <sz val="9"/>
      <color indexed="8"/>
      <name val="Noto Sans CJK SC"/>
    </font>
    <font>
      <sz val="12"/>
      <color indexed="8"/>
      <name val="Noto Sans CJK SC"/>
    </font>
    <font>
      <sz val="11"/>
      <color indexed="8"/>
      <name val="Noto Sans CJK SC"/>
    </font>
    <font>
      <sz val="14"/>
      <color indexed="8"/>
      <name val="Noto Sans CJK SC"/>
    </font>
    <font>
      <sz val="11"/>
      <color indexed="8"/>
      <name val="Arial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5" fillId="2" borderId="1" applyNumberFormat="1" applyFont="1" applyFill="1" applyBorder="1" applyAlignment="1" applyProtection="0">
      <alignment horizontal="center" vertical="center" wrapText="1"/>
    </xf>
    <xf numFmtId="49" fontId="6" fillId="2" borderId="1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vertical="bottom"/>
    </xf>
    <xf numFmtId="3" fontId="4" fillId="2" borderId="1" applyNumberFormat="1" applyFont="1" applyFill="1" applyBorder="1" applyAlignment="1" applyProtection="0">
      <alignment horizontal="right" vertical="bottom"/>
    </xf>
    <xf numFmtId="1" fontId="4" fillId="2" borderId="1" applyNumberFormat="1" applyFont="1" applyFill="1" applyBorder="1" applyAlignment="1" applyProtection="0">
      <alignment vertical="bottom"/>
    </xf>
    <xf numFmtId="1" fontId="4" fillId="2" borderId="1" applyNumberFormat="1" applyFont="1" applyFill="1" applyBorder="1" applyAlignment="1" applyProtection="0">
      <alignment horizontal="right" vertical="bottom"/>
    </xf>
    <xf numFmtId="49" fontId="4" fillId="2" borderId="1" applyNumberFormat="1" applyFont="1" applyFill="1" applyBorder="1" applyAlignment="1" applyProtection="0">
      <alignment vertical="center" wrapText="1"/>
    </xf>
    <xf numFmtId="1" fontId="5" fillId="2" borderId="1" applyNumberFormat="1" applyFont="1" applyFill="1" applyBorder="1" applyAlignment="1" applyProtection="0">
      <alignment vertical="center"/>
    </xf>
    <xf numFmtId="1" fontId="4" fillId="2" borderId="1" applyNumberFormat="1" applyFont="1" applyFill="1" applyBorder="1" applyAlignment="1" applyProtection="0">
      <alignment vertical="center" wrapText="1"/>
    </xf>
    <xf numFmtId="49" fontId="5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2" borderId="1" applyNumberFormat="1" applyFont="1" applyFill="1" applyBorder="1" applyAlignment="1" applyProtection="0">
      <alignment horizontal="left" vertical="center"/>
    </xf>
    <xf numFmtId="49" fontId="8" fillId="2" borderId="1" applyNumberFormat="1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/>
    </xf>
    <xf numFmtId="49" fontId="5" fillId="2" borderId="1" applyNumberFormat="1" applyFont="1" applyFill="1" applyBorder="1" applyAlignment="1" applyProtection="0">
      <alignment horizontal="left" vertical="bottom"/>
    </xf>
    <xf numFmtId="4" fontId="4" fillId="2" borderId="1" applyNumberFormat="1" applyFont="1" applyFill="1" applyBorder="1" applyAlignment="1" applyProtection="0">
      <alignment horizontal="right" vertical="bottom"/>
    </xf>
    <xf numFmtId="49" fontId="9" fillId="2" borderId="1" applyNumberFormat="1" applyFont="1" applyFill="1" applyBorder="1" applyAlignment="1" applyProtection="0">
      <alignment horizontal="left" vertical="bottom"/>
    </xf>
    <xf numFmtId="1" fontId="9" fillId="2" borderId="1" applyNumberFormat="1" applyFont="1" applyFill="1" applyBorder="1" applyAlignment="1" applyProtection="0">
      <alignment horizontal="left" vertical="bottom"/>
    </xf>
    <xf numFmtId="49" fontId="8" fillId="2" borderId="1" applyNumberFormat="1" applyFont="1" applyFill="1" applyBorder="1" applyAlignment="1" applyProtection="0">
      <alignment horizontal="left" vertical="bottom"/>
    </xf>
    <xf numFmtId="1" fontId="8" fillId="2" borderId="1" applyNumberFormat="1" applyFont="1" applyFill="1" applyBorder="1" applyAlignment="1" applyProtection="0">
      <alignment horizontal="left" vertical="bottom"/>
    </xf>
    <xf numFmtId="49" fontId="5" fillId="2" borderId="5" applyNumberFormat="1" applyFont="1" applyFill="1" applyBorder="1" applyAlignment="1" applyProtection="0">
      <alignment horizontal="left" vertical="bottom"/>
    </xf>
    <xf numFmtId="4" fontId="4" fillId="2" borderId="5" applyNumberFormat="1" applyFont="1" applyFill="1" applyBorder="1" applyAlignment="1" applyProtection="0">
      <alignment horizontal="right" vertical="bottom"/>
    </xf>
    <xf numFmtId="3" fontId="4" fillId="2" borderId="5" applyNumberFormat="1" applyFont="1" applyFill="1" applyBorder="1" applyAlignment="1" applyProtection="0">
      <alignment horizontal="right" vertical="bottom"/>
    </xf>
    <xf numFmtId="49" fontId="8" fillId="2" borderId="5" applyNumberFormat="1" applyFont="1" applyFill="1" applyBorder="1" applyAlignment="1" applyProtection="0">
      <alignment horizontal="left" vertical="bottom"/>
    </xf>
    <xf numFmtId="49" fontId="10" fillId="2" borderId="6" applyNumberFormat="1" applyFont="1" applyFill="1" applyBorder="1" applyAlignment="1" applyProtection="0">
      <alignment horizontal="left" vertical="bottom"/>
    </xf>
    <xf numFmtId="4" fontId="6" fillId="2" borderId="6" applyNumberFormat="1" applyFont="1" applyFill="1" applyBorder="1" applyAlignment="1" applyProtection="0">
      <alignment horizontal="right" vertical="bottom"/>
    </xf>
    <xf numFmtId="3" fontId="6" fillId="2" borderId="6" applyNumberFormat="1" applyFont="1" applyFill="1" applyBorder="1" applyAlignment="1" applyProtection="0">
      <alignment horizontal="right" vertical="bottom"/>
    </xf>
    <xf numFmtId="49" fontId="9" fillId="2" borderId="6" applyNumberFormat="1" applyFont="1" applyFill="1" applyBorder="1" applyAlignment="1" applyProtection="0">
      <alignment horizontal="left" vertical="bottom"/>
    </xf>
    <xf numFmtId="0" fontId="0" fillId="2" borderId="7" applyNumberFormat="0" applyFont="1" applyFill="1" applyBorder="1" applyAlignment="1" applyProtection="0">
      <alignment vertical="bottom"/>
    </xf>
    <xf numFmtId="49" fontId="11" fillId="2" borderId="1" applyNumberFormat="1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12" fillId="2" borderId="1" applyNumberFormat="1" applyFont="1" applyFill="1" applyBorder="1" applyAlignment="1" applyProtection="0">
      <alignment horizontal="left" vertical="center"/>
    </xf>
    <xf numFmtId="49" fontId="9" fillId="2" borderId="1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bottom"/>
    </xf>
    <xf numFmtId="49" fontId="11" fillId="2" borderId="1" applyNumberFormat="1" applyFont="1" applyFill="1" applyBorder="1" applyAlignment="1" applyProtection="0">
      <alignment horizontal="left" vertical="bottom"/>
    </xf>
    <xf numFmtId="3" fontId="13" fillId="2" borderId="1" applyNumberFormat="1" applyFont="1" applyFill="1" applyBorder="1" applyAlignment="1" applyProtection="0">
      <alignment horizontal="right" vertical="bottom"/>
    </xf>
    <xf numFmtId="4" fontId="13" fillId="2" borderId="1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49" fontId="13" fillId="2" borderId="1" applyNumberFormat="1" applyFont="1" applyFill="1" applyBorder="1" applyAlignment="1" applyProtection="0">
      <alignment horizontal="left" vertical="center"/>
    </xf>
    <xf numFmtId="1" fontId="8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4" fillId="2" borderId="1" applyNumberFormat="1" applyFont="1" applyFill="1" applyBorder="1" applyAlignment="1" applyProtection="0">
      <alignment horizontal="right" vertical="bottom"/>
    </xf>
    <xf numFmtId="59" fontId="13" fillId="2" borderId="1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  <xf numFmtId="49" fontId="14" fillId="2" borderId="1" applyNumberFormat="1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4" fillId="2" borderId="1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1" fontId="5" fillId="2" borderId="1" applyNumberFormat="1" applyFont="1" applyFill="1" applyBorder="1" applyAlignment="1" applyProtection="0">
      <alignment horizontal="left" vertical="bottom"/>
    </xf>
    <xf numFmtId="4" fontId="4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5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60"/>
  <sheetViews>
    <sheetView workbookViewId="0" showGridLines="0" defaultGridColor="1"/>
  </sheetViews>
  <sheetFormatPr defaultColWidth="8.66667" defaultRowHeight="15" customHeight="1" outlineLevelRow="0" outlineLevelCol="0"/>
  <cols>
    <col min="1" max="1" width="12" style="1" customWidth="1"/>
    <col min="2" max="2" width="8" style="1" customWidth="1"/>
    <col min="3" max="4" width="14" style="1" customWidth="1"/>
    <col min="5" max="5" width="11" style="1" customWidth="1"/>
    <col min="6" max="6" width="16" style="1" customWidth="1"/>
    <col min="7" max="7" width="34" style="1" customWidth="1"/>
    <col min="8" max="8" width="13" style="1" customWidth="1"/>
    <col min="9" max="9" width="24" style="1" customWidth="1"/>
    <col min="10" max="10" width="8.67188" style="1" customWidth="1"/>
    <col min="11" max="11" width="18" style="1" customWidth="1"/>
    <col min="12" max="12" width="12" style="1" customWidth="1"/>
    <col min="13" max="16384" width="8.67188" style="1" customWidth="1"/>
  </cols>
  <sheetData>
    <row r="1" ht="27.75" customHeight="1">
      <c r="A1" t="s" s="2">
        <v>0</v>
      </c>
      <c r="B1" s="3"/>
      <c r="C1" s="4"/>
      <c r="D1" s="4"/>
      <c r="E1" s="4"/>
      <c r="F1" s="4"/>
      <c r="G1" s="4"/>
      <c r="H1" s="4"/>
      <c r="I1" s="5"/>
      <c r="J1" s="6"/>
      <c r="K1" s="6"/>
      <c r="L1" s="6"/>
    </row>
    <row r="2" ht="30" customHeight="1">
      <c r="A2" t="s" s="7">
        <v>1</v>
      </c>
      <c r="B2" t="s" s="7">
        <v>2</v>
      </c>
      <c r="C2" t="s" s="7">
        <v>3</v>
      </c>
      <c r="D2" t="s" s="7">
        <v>4</v>
      </c>
      <c r="E2" t="s" s="7">
        <v>5</v>
      </c>
      <c r="F2" t="s" s="7">
        <v>6</v>
      </c>
      <c r="G2" t="s" s="8">
        <v>7</v>
      </c>
      <c r="H2" t="s" s="8">
        <v>8</v>
      </c>
      <c r="I2" t="s" s="7">
        <v>9</v>
      </c>
      <c r="J2" s="6"/>
      <c r="K2" t="s" s="9">
        <v>10</v>
      </c>
      <c r="L2" s="6"/>
    </row>
    <row r="3" ht="15" customHeight="1">
      <c r="A3" t="s" s="10">
        <v>11</v>
      </c>
      <c r="B3" t="s" s="10">
        <v>12</v>
      </c>
      <c r="C3" t="s" s="11">
        <v>13</v>
      </c>
      <c r="D3" t="s" s="11">
        <v>14</v>
      </c>
      <c r="E3" s="12">
        <v>250</v>
      </c>
      <c r="F3" t="s" s="11">
        <v>15</v>
      </c>
      <c r="G3" s="13"/>
      <c r="H3" s="12"/>
      <c r="I3" s="13"/>
      <c r="J3" s="6"/>
      <c r="K3" t="s" s="11">
        <v>16</v>
      </c>
      <c r="L3" s="14" cm="1">
        <f t="array" ref="L3">COUNTA(C3:C52)</f>
        <v>50</v>
      </c>
    </row>
    <row r="4" ht="15" customHeight="1">
      <c r="A4" t="s" s="10">
        <v>11</v>
      </c>
      <c r="B4" t="s" s="10">
        <v>17</v>
      </c>
      <c r="C4" t="s" s="11">
        <v>18</v>
      </c>
      <c r="D4" t="s" s="11">
        <v>19</v>
      </c>
      <c r="E4" s="12">
        <v>250</v>
      </c>
      <c r="F4" t="s" s="11">
        <v>15</v>
      </c>
      <c r="G4" t="s" s="15">
        <v>20</v>
      </c>
      <c r="H4" s="12">
        <v>86</v>
      </c>
      <c r="I4" s="16"/>
      <c r="J4" s="6"/>
      <c r="K4" t="s" s="11">
        <v>21</v>
      </c>
      <c r="L4" s="12" cm="1">
        <f t="array" ref="L4">SUM(E3:E52)</f>
        <v>10000</v>
      </c>
    </row>
    <row r="5" ht="15" customHeight="1">
      <c r="A5" t="s" s="10">
        <v>11</v>
      </c>
      <c r="B5" t="s" s="10">
        <v>22</v>
      </c>
      <c r="C5" t="s" s="11">
        <v>23</v>
      </c>
      <c r="D5" t="s" s="11">
        <v>24</v>
      </c>
      <c r="E5" s="12">
        <v>250</v>
      </c>
      <c r="F5" t="s" s="11">
        <v>15</v>
      </c>
      <c r="G5" t="s" s="15">
        <v>25</v>
      </c>
      <c r="H5" s="12">
        <v>271</v>
      </c>
      <c r="I5" s="13"/>
      <c r="J5" s="6"/>
      <c r="K5" t="s" s="11">
        <v>26</v>
      </c>
      <c r="L5" s="12" cm="1">
        <f t="array" ref="L5">SUM(H3:H52)</f>
        <v>7179</v>
      </c>
    </row>
    <row r="6" ht="15" customHeight="1">
      <c r="A6" t="s" s="10">
        <v>11</v>
      </c>
      <c r="B6" t="s" s="10">
        <v>27</v>
      </c>
      <c r="C6" t="s" s="11">
        <v>28</v>
      </c>
      <c r="D6" t="s" s="11">
        <v>29</v>
      </c>
      <c r="E6" s="12">
        <v>250</v>
      </c>
      <c r="F6" t="s" s="11">
        <v>15</v>
      </c>
      <c r="G6" t="s" s="15">
        <v>30</v>
      </c>
      <c r="H6" s="12">
        <v>60</v>
      </c>
      <c r="I6" s="13"/>
      <c r="J6" s="6"/>
      <c r="K6" t="s" s="11">
        <v>31</v>
      </c>
      <c r="L6" s="12" cm="1">
        <f t="array" ref="L6">L4+L5</f>
        <v>17179</v>
      </c>
    </row>
    <row r="7" ht="15" customHeight="1">
      <c r="A7" t="s" s="10">
        <v>32</v>
      </c>
      <c r="B7" t="s" s="10">
        <v>12</v>
      </c>
      <c r="C7" t="s" s="11">
        <v>33</v>
      </c>
      <c r="D7" t="s" s="11">
        <v>34</v>
      </c>
      <c r="E7" s="12">
        <v>250</v>
      </c>
      <c r="F7" t="s" s="11">
        <v>15</v>
      </c>
      <c r="G7" s="17"/>
      <c r="H7" s="12"/>
      <c r="I7" s="13"/>
      <c r="J7" s="6"/>
      <c r="K7" s="6"/>
      <c r="L7" s="6"/>
    </row>
    <row r="8" ht="15" customHeight="1">
      <c r="A8" t="s" s="10">
        <v>32</v>
      </c>
      <c r="B8" t="s" s="10">
        <v>17</v>
      </c>
      <c r="C8" t="s" s="11">
        <v>35</v>
      </c>
      <c r="D8" t="s" s="11">
        <v>36</v>
      </c>
      <c r="E8" s="12">
        <v>250</v>
      </c>
      <c r="F8" t="s" s="11">
        <v>15</v>
      </c>
      <c r="G8" s="17"/>
      <c r="H8" s="12"/>
      <c r="I8" s="13"/>
      <c r="J8" s="6"/>
      <c r="K8" s="6"/>
      <c r="L8" s="6"/>
    </row>
    <row r="9" ht="15" customHeight="1">
      <c r="A9" t="s" s="10">
        <v>32</v>
      </c>
      <c r="B9" t="s" s="10">
        <v>22</v>
      </c>
      <c r="C9" t="s" s="11">
        <v>37</v>
      </c>
      <c r="D9" t="s" s="11">
        <v>38</v>
      </c>
      <c r="E9" s="12">
        <v>250</v>
      </c>
      <c r="F9" t="s" s="11">
        <v>15</v>
      </c>
      <c r="G9" t="s" s="15">
        <v>39</v>
      </c>
      <c r="H9" s="12">
        <v>48</v>
      </c>
      <c r="I9" s="13"/>
      <c r="J9" s="6"/>
      <c r="K9" s="6"/>
      <c r="L9" s="6"/>
    </row>
    <row r="10" ht="15" customHeight="1">
      <c r="A10" t="s" s="10">
        <v>32</v>
      </c>
      <c r="B10" t="s" s="10">
        <v>27</v>
      </c>
      <c r="C10" t="s" s="11">
        <v>40</v>
      </c>
      <c r="D10" t="s" s="11">
        <v>41</v>
      </c>
      <c r="E10" s="12">
        <v>250</v>
      </c>
      <c r="F10" t="s" s="11">
        <v>15</v>
      </c>
      <c r="G10" t="s" s="15">
        <v>42</v>
      </c>
      <c r="H10" s="12">
        <v>163</v>
      </c>
      <c r="I10" s="13"/>
      <c r="J10" s="6"/>
      <c r="K10" s="6"/>
      <c r="L10" s="6"/>
    </row>
    <row r="11" ht="15" customHeight="1">
      <c r="A11" t="s" s="10">
        <v>43</v>
      </c>
      <c r="B11" t="s" s="10">
        <v>44</v>
      </c>
      <c r="C11" t="s" s="11">
        <v>45</v>
      </c>
      <c r="D11" t="s" s="11">
        <v>46</v>
      </c>
      <c r="E11" s="12">
        <v>250</v>
      </c>
      <c r="F11" t="s" s="11">
        <v>15</v>
      </c>
      <c r="G11" t="s" s="15">
        <v>47</v>
      </c>
      <c r="H11" s="12">
        <v>52</v>
      </c>
      <c r="I11" s="13"/>
      <c r="J11" s="6"/>
      <c r="K11" s="6"/>
      <c r="L11" s="6"/>
    </row>
    <row r="12" ht="15" customHeight="1">
      <c r="A12" t="s" s="10">
        <v>43</v>
      </c>
      <c r="B12" t="s" s="10">
        <v>12</v>
      </c>
      <c r="C12" t="s" s="11">
        <v>48</v>
      </c>
      <c r="D12" t="s" s="11">
        <v>49</v>
      </c>
      <c r="E12" s="12">
        <v>250</v>
      </c>
      <c r="F12" t="s" s="11">
        <v>15</v>
      </c>
      <c r="G12" t="s" s="15">
        <v>50</v>
      </c>
      <c r="H12" s="12">
        <v>258</v>
      </c>
      <c r="I12" s="13"/>
      <c r="J12" s="6"/>
      <c r="K12" s="6"/>
      <c r="L12" s="6"/>
    </row>
    <row r="13" ht="15" customHeight="1">
      <c r="A13" t="s" s="10">
        <v>43</v>
      </c>
      <c r="B13" t="s" s="10">
        <v>17</v>
      </c>
      <c r="C13" t="s" s="11">
        <v>51</v>
      </c>
      <c r="D13" t="s" s="11">
        <v>52</v>
      </c>
      <c r="E13" s="12">
        <v>250</v>
      </c>
      <c r="F13" t="s" s="11">
        <v>15</v>
      </c>
      <c r="G13" t="s" s="15">
        <v>53</v>
      </c>
      <c r="H13" s="12">
        <v>218</v>
      </c>
      <c r="I13" s="13"/>
      <c r="J13" s="6"/>
      <c r="K13" s="6"/>
      <c r="L13" s="6"/>
    </row>
    <row r="14" ht="15" customHeight="1">
      <c r="A14" t="s" s="10">
        <v>43</v>
      </c>
      <c r="B14" t="s" s="10">
        <v>27</v>
      </c>
      <c r="C14" t="s" s="11">
        <v>54</v>
      </c>
      <c r="D14" t="s" s="11">
        <v>55</v>
      </c>
      <c r="E14" s="12">
        <v>250</v>
      </c>
      <c r="F14" t="s" s="11">
        <v>15</v>
      </c>
      <c r="G14" s="13"/>
      <c r="H14" s="14"/>
      <c r="I14" s="13"/>
      <c r="J14" s="6"/>
      <c r="K14" s="6"/>
      <c r="L14" s="6"/>
    </row>
    <row r="15" ht="15" customHeight="1">
      <c r="A15" t="s" s="10">
        <v>43</v>
      </c>
      <c r="B15" t="s" s="10">
        <v>56</v>
      </c>
      <c r="C15" t="s" s="11">
        <v>57</v>
      </c>
      <c r="D15" t="s" s="11">
        <v>58</v>
      </c>
      <c r="E15" s="12">
        <v>250</v>
      </c>
      <c r="F15" t="s" s="11">
        <v>15</v>
      </c>
      <c r="G15" t="s" s="15">
        <v>59</v>
      </c>
      <c r="H15" s="12">
        <v>86</v>
      </c>
      <c r="I15" s="13"/>
      <c r="J15" s="6"/>
      <c r="K15" s="6"/>
      <c r="L15" s="6"/>
    </row>
    <row r="16" ht="15" customHeight="1">
      <c r="A16" t="s" s="10">
        <v>43</v>
      </c>
      <c r="B16" t="s" s="10">
        <v>60</v>
      </c>
      <c r="C16" t="s" s="11">
        <v>61</v>
      </c>
      <c r="D16" t="s" s="11">
        <v>62</v>
      </c>
      <c r="E16" s="12">
        <v>250</v>
      </c>
      <c r="F16" t="s" s="11">
        <v>15</v>
      </c>
      <c r="G16" t="s" s="15">
        <v>63</v>
      </c>
      <c r="H16" s="12">
        <v>220</v>
      </c>
      <c r="I16" s="13"/>
      <c r="J16" s="6"/>
      <c r="K16" s="6"/>
      <c r="L16" s="6"/>
    </row>
    <row r="17" ht="15" customHeight="1">
      <c r="A17" t="s" s="10">
        <v>43</v>
      </c>
      <c r="B17" t="s" s="10">
        <v>64</v>
      </c>
      <c r="C17" t="s" s="11">
        <v>65</v>
      </c>
      <c r="D17" t="s" s="11">
        <v>66</v>
      </c>
      <c r="E17" s="12">
        <v>250</v>
      </c>
      <c r="F17" t="s" s="11">
        <v>15</v>
      </c>
      <c r="G17" t="s" s="15">
        <v>67</v>
      </c>
      <c r="H17" s="12">
        <v>603</v>
      </c>
      <c r="I17" s="13"/>
      <c r="J17" s="6"/>
      <c r="K17" s="6"/>
      <c r="L17" s="6"/>
    </row>
    <row r="18" ht="15" customHeight="1">
      <c r="A18" t="s" s="10">
        <v>68</v>
      </c>
      <c r="B18" t="s" s="10">
        <v>44</v>
      </c>
      <c r="C18" t="s" s="11">
        <v>69</v>
      </c>
      <c r="D18" t="s" s="11">
        <v>70</v>
      </c>
      <c r="E18" s="12">
        <v>250</v>
      </c>
      <c r="F18" t="s" s="11">
        <v>15</v>
      </c>
      <c r="G18" t="s" s="15">
        <v>71</v>
      </c>
      <c r="H18" s="12">
        <v>330</v>
      </c>
      <c r="I18" s="13"/>
      <c r="J18" s="6"/>
      <c r="K18" s="6"/>
      <c r="L18" s="6"/>
    </row>
    <row r="19" ht="15" customHeight="1">
      <c r="A19" t="s" s="10">
        <v>68</v>
      </c>
      <c r="B19" t="s" s="10">
        <v>12</v>
      </c>
      <c r="C19" t="s" s="11">
        <v>72</v>
      </c>
      <c r="D19" t="s" s="11">
        <v>73</v>
      </c>
      <c r="E19" s="12">
        <v>250</v>
      </c>
      <c r="F19" t="s" s="11">
        <v>15</v>
      </c>
      <c r="G19" t="s" s="15">
        <v>74</v>
      </c>
      <c r="H19" s="12">
        <v>126</v>
      </c>
      <c r="I19" s="13"/>
      <c r="J19" s="6"/>
      <c r="K19" s="6"/>
      <c r="L19" s="6"/>
    </row>
    <row r="20" ht="15" customHeight="1">
      <c r="A20" t="s" s="10">
        <v>68</v>
      </c>
      <c r="B20" t="s" s="10">
        <v>17</v>
      </c>
      <c r="C20" t="s" s="11">
        <v>75</v>
      </c>
      <c r="D20" t="s" s="11">
        <v>76</v>
      </c>
      <c r="E20" s="12">
        <v>250</v>
      </c>
      <c r="F20" t="s" s="11">
        <v>15</v>
      </c>
      <c r="G20" t="s" s="15">
        <v>77</v>
      </c>
      <c r="H20" s="12">
        <v>14</v>
      </c>
      <c r="I20" s="13"/>
      <c r="J20" s="6"/>
      <c r="K20" s="6"/>
      <c r="L20" s="6"/>
    </row>
    <row r="21" ht="15" customHeight="1">
      <c r="A21" t="s" s="10">
        <v>68</v>
      </c>
      <c r="B21" t="s" s="10">
        <v>27</v>
      </c>
      <c r="C21" t="s" s="11">
        <v>78</v>
      </c>
      <c r="D21" t="s" s="11">
        <v>79</v>
      </c>
      <c r="E21" s="12">
        <v>250</v>
      </c>
      <c r="F21" t="s" s="11">
        <v>15</v>
      </c>
      <c r="G21" t="s" s="15">
        <v>80</v>
      </c>
      <c r="H21" s="12">
        <v>190</v>
      </c>
      <c r="I21" s="13"/>
      <c r="J21" s="6"/>
      <c r="K21" s="6"/>
      <c r="L21" s="6"/>
    </row>
    <row r="22" ht="15" customHeight="1">
      <c r="A22" t="s" s="10">
        <v>68</v>
      </c>
      <c r="B22" t="s" s="10">
        <v>56</v>
      </c>
      <c r="C22" t="s" s="11">
        <v>81</v>
      </c>
      <c r="D22" t="s" s="11">
        <v>82</v>
      </c>
      <c r="E22" s="12">
        <v>250</v>
      </c>
      <c r="F22" t="s" s="11">
        <v>15</v>
      </c>
      <c r="G22" t="s" s="15">
        <v>83</v>
      </c>
      <c r="H22" s="12">
        <v>551</v>
      </c>
      <c r="I22" s="13"/>
      <c r="J22" s="6"/>
      <c r="K22" s="6"/>
      <c r="L22" s="6"/>
    </row>
    <row r="23" ht="15" customHeight="1">
      <c r="A23" t="s" s="10">
        <v>68</v>
      </c>
      <c r="B23" t="s" s="10">
        <v>60</v>
      </c>
      <c r="C23" t="s" s="11">
        <v>84</v>
      </c>
      <c r="D23" t="s" s="11">
        <v>85</v>
      </c>
      <c r="E23" s="12">
        <v>250</v>
      </c>
      <c r="F23" t="s" s="11">
        <v>15</v>
      </c>
      <c r="G23" s="13"/>
      <c r="H23" s="14"/>
      <c r="I23" s="13"/>
      <c r="J23" s="6"/>
      <c r="K23" s="6"/>
      <c r="L23" s="6"/>
    </row>
    <row r="24" ht="15" customHeight="1">
      <c r="A24" t="s" s="10">
        <v>68</v>
      </c>
      <c r="B24" t="s" s="10">
        <v>64</v>
      </c>
      <c r="C24" t="s" s="11">
        <v>86</v>
      </c>
      <c r="D24" t="s" s="11">
        <v>87</v>
      </c>
      <c r="E24" s="12">
        <v>250</v>
      </c>
      <c r="F24" t="s" s="11">
        <v>15</v>
      </c>
      <c r="G24" t="s" s="15">
        <v>88</v>
      </c>
      <c r="H24" s="12">
        <v>156</v>
      </c>
      <c r="I24" s="13"/>
      <c r="J24" s="6"/>
      <c r="K24" s="6"/>
      <c r="L24" s="6"/>
    </row>
    <row r="25" ht="15" customHeight="1">
      <c r="A25" t="s" s="10">
        <v>89</v>
      </c>
      <c r="B25" t="s" s="10">
        <v>12</v>
      </c>
      <c r="C25" t="s" s="11">
        <v>90</v>
      </c>
      <c r="D25" t="s" s="11">
        <v>91</v>
      </c>
      <c r="E25" s="12">
        <v>250</v>
      </c>
      <c r="F25" t="s" s="11">
        <v>15</v>
      </c>
      <c r="G25" t="s" s="11">
        <v>92</v>
      </c>
      <c r="H25" s="12">
        <v>288</v>
      </c>
      <c r="I25" s="13"/>
      <c r="J25" s="6"/>
      <c r="K25" s="6"/>
      <c r="L25" s="6"/>
    </row>
    <row r="26" ht="15" customHeight="1">
      <c r="A26" t="s" s="10">
        <v>89</v>
      </c>
      <c r="B26" t="s" s="10">
        <v>17</v>
      </c>
      <c r="C26" t="s" s="11">
        <v>93</v>
      </c>
      <c r="D26" t="s" s="11">
        <v>94</v>
      </c>
      <c r="E26" s="12">
        <v>250</v>
      </c>
      <c r="F26" t="s" s="11">
        <v>15</v>
      </c>
      <c r="G26" t="s" s="11">
        <v>95</v>
      </c>
      <c r="H26" s="12">
        <v>70</v>
      </c>
      <c r="I26" s="13"/>
      <c r="J26" s="6"/>
      <c r="K26" s="6"/>
      <c r="L26" s="6"/>
    </row>
    <row r="27" ht="15" customHeight="1">
      <c r="A27" t="s" s="10">
        <v>89</v>
      </c>
      <c r="B27" t="s" s="10">
        <v>22</v>
      </c>
      <c r="C27" t="s" s="11">
        <v>96</v>
      </c>
      <c r="D27" t="s" s="11">
        <v>97</v>
      </c>
      <c r="E27" s="12">
        <v>250</v>
      </c>
      <c r="F27" t="s" s="11">
        <v>15</v>
      </c>
      <c r="G27" t="s" s="11">
        <v>98</v>
      </c>
      <c r="H27" s="12">
        <v>141</v>
      </c>
      <c r="I27" s="13"/>
      <c r="J27" s="6"/>
      <c r="K27" s="6"/>
      <c r="L27" s="6"/>
    </row>
    <row r="28" ht="15" customHeight="1">
      <c r="A28" t="s" s="10">
        <v>89</v>
      </c>
      <c r="B28" t="s" s="10">
        <v>27</v>
      </c>
      <c r="C28" t="s" s="11">
        <v>99</v>
      </c>
      <c r="D28" t="s" s="11">
        <v>87</v>
      </c>
      <c r="E28" s="12">
        <v>250</v>
      </c>
      <c r="F28" t="s" s="11">
        <v>15</v>
      </c>
      <c r="G28" t="s" s="11">
        <v>100</v>
      </c>
      <c r="H28" s="12">
        <v>227</v>
      </c>
      <c r="I28" s="13"/>
      <c r="J28" s="6"/>
      <c r="K28" s="6"/>
      <c r="L28" s="6"/>
    </row>
    <row r="29" ht="15" customHeight="1">
      <c r="A29" t="s" s="10">
        <v>89</v>
      </c>
      <c r="B29" t="s" s="10">
        <v>101</v>
      </c>
      <c r="C29" t="s" s="11">
        <v>102</v>
      </c>
      <c r="D29" s="13"/>
      <c r="E29" s="12"/>
      <c r="F29" t="s" s="11">
        <v>103</v>
      </c>
      <c r="G29" t="s" s="11">
        <v>104</v>
      </c>
      <c r="H29" s="12">
        <v>164</v>
      </c>
      <c r="I29" t="s" s="18">
        <v>105</v>
      </c>
      <c r="J29" s="6"/>
      <c r="K29" s="6"/>
      <c r="L29" s="6"/>
    </row>
    <row r="30" ht="15" customHeight="1">
      <c r="A30" t="s" s="10">
        <v>89</v>
      </c>
      <c r="B30" t="s" s="10">
        <v>101</v>
      </c>
      <c r="C30" t="s" s="11">
        <v>48</v>
      </c>
      <c r="D30" t="s" s="11">
        <v>49</v>
      </c>
      <c r="E30" s="12"/>
      <c r="F30" t="s" s="11">
        <v>106</v>
      </c>
      <c r="G30" t="s" s="11">
        <v>107</v>
      </c>
      <c r="H30" s="12">
        <v>103</v>
      </c>
      <c r="I30" t="s" s="18">
        <v>108</v>
      </c>
      <c r="J30" s="6"/>
      <c r="K30" s="6"/>
      <c r="L30" s="6"/>
    </row>
    <row r="31" ht="15" customHeight="1">
      <c r="A31" t="s" s="10">
        <v>109</v>
      </c>
      <c r="B31" t="s" s="10">
        <v>101</v>
      </c>
      <c r="C31" t="s" s="11">
        <v>110</v>
      </c>
      <c r="D31" t="s" s="11">
        <v>111</v>
      </c>
      <c r="E31" s="12"/>
      <c r="F31" t="s" s="11">
        <v>112</v>
      </c>
      <c r="G31" t="s" s="11">
        <v>113</v>
      </c>
      <c r="H31" s="12">
        <v>206</v>
      </c>
      <c r="I31" t="s" s="18">
        <v>114</v>
      </c>
      <c r="J31" s="6"/>
      <c r="K31" s="6"/>
      <c r="L31" s="6"/>
    </row>
    <row r="32" ht="15" customHeight="1">
      <c r="A32" t="s" s="10">
        <v>109</v>
      </c>
      <c r="B32" t="s" s="10">
        <v>12</v>
      </c>
      <c r="C32" t="s" s="11">
        <v>115</v>
      </c>
      <c r="D32" t="s" s="11">
        <v>116</v>
      </c>
      <c r="E32" s="12">
        <v>250</v>
      </c>
      <c r="F32" t="s" s="11">
        <v>15</v>
      </c>
      <c r="G32" t="s" s="11">
        <v>117</v>
      </c>
      <c r="H32" s="12">
        <v>258</v>
      </c>
      <c r="I32" s="13"/>
      <c r="J32" s="6"/>
      <c r="K32" s="6"/>
      <c r="L32" s="6"/>
    </row>
    <row r="33" ht="15" customHeight="1">
      <c r="A33" t="s" s="10">
        <v>109</v>
      </c>
      <c r="B33" t="s" s="10">
        <v>17</v>
      </c>
      <c r="C33" t="s" s="18">
        <v>118</v>
      </c>
      <c r="D33" t="s" s="18">
        <v>119</v>
      </c>
      <c r="E33" s="12">
        <v>250</v>
      </c>
      <c r="F33" t="s" s="11">
        <v>15</v>
      </c>
      <c r="G33" s="13"/>
      <c r="H33" s="12"/>
      <c r="I33" s="13"/>
      <c r="J33" s="6"/>
      <c r="K33" s="6"/>
      <c r="L33" s="6"/>
    </row>
    <row r="34" ht="15" customHeight="1">
      <c r="A34" t="s" s="10">
        <v>120</v>
      </c>
      <c r="B34" t="s" s="10">
        <v>12</v>
      </c>
      <c r="C34" t="s" s="11">
        <v>121</v>
      </c>
      <c r="D34" t="s" s="11">
        <v>122</v>
      </c>
      <c r="E34" s="12">
        <v>250</v>
      </c>
      <c r="F34" t="s" s="11">
        <v>15</v>
      </c>
      <c r="G34" t="s" s="11">
        <v>123</v>
      </c>
      <c r="H34" s="12">
        <v>238</v>
      </c>
      <c r="I34" s="13"/>
      <c r="J34" s="6"/>
      <c r="K34" s="6"/>
      <c r="L34" s="6"/>
    </row>
    <row r="35" ht="15" customHeight="1">
      <c r="A35" t="s" s="10">
        <v>120</v>
      </c>
      <c r="B35" t="s" s="10">
        <v>17</v>
      </c>
      <c r="C35" t="s" s="11">
        <v>124</v>
      </c>
      <c r="D35" t="s" s="11">
        <v>125</v>
      </c>
      <c r="E35" s="12">
        <v>250</v>
      </c>
      <c r="F35" t="s" s="11">
        <v>15</v>
      </c>
      <c r="G35" t="s" s="11">
        <v>126</v>
      </c>
      <c r="H35" s="12">
        <v>120</v>
      </c>
      <c r="I35" s="13"/>
      <c r="J35" s="6"/>
      <c r="K35" s="6"/>
      <c r="L35" s="6"/>
    </row>
    <row r="36" ht="15" customHeight="1">
      <c r="A36" t="s" s="10">
        <v>120</v>
      </c>
      <c r="B36" t="s" s="10">
        <v>22</v>
      </c>
      <c r="C36" t="s" s="11">
        <v>127</v>
      </c>
      <c r="D36" t="s" s="11">
        <v>128</v>
      </c>
      <c r="E36" s="12">
        <v>250</v>
      </c>
      <c r="F36" t="s" s="11">
        <v>15</v>
      </c>
      <c r="G36" s="13"/>
      <c r="H36" s="12"/>
      <c r="I36" s="13"/>
      <c r="J36" s="6"/>
      <c r="K36" s="6"/>
      <c r="L36" s="6"/>
    </row>
    <row r="37" ht="15" customHeight="1">
      <c r="A37" t="s" s="10">
        <v>120</v>
      </c>
      <c r="B37" t="s" s="10">
        <v>101</v>
      </c>
      <c r="C37" t="s" s="11">
        <v>121</v>
      </c>
      <c r="D37" t="s" s="11">
        <v>129</v>
      </c>
      <c r="E37" s="12"/>
      <c r="F37" t="s" s="11">
        <v>130</v>
      </c>
      <c r="G37" t="s" s="11">
        <v>131</v>
      </c>
      <c r="H37" s="12">
        <v>112</v>
      </c>
      <c r="I37" t="s" s="18">
        <v>132</v>
      </c>
      <c r="J37" s="6"/>
      <c r="K37" s="6"/>
      <c r="L37" s="6"/>
    </row>
    <row r="38" ht="15" customHeight="1">
      <c r="A38" t="s" s="10">
        <v>120</v>
      </c>
      <c r="B38" t="s" s="10">
        <v>101</v>
      </c>
      <c r="C38" t="s" s="11">
        <v>93</v>
      </c>
      <c r="D38" t="s" s="11">
        <v>133</v>
      </c>
      <c r="E38" s="12"/>
      <c r="F38" t="s" s="11">
        <v>134</v>
      </c>
      <c r="G38" t="s" s="11">
        <v>39</v>
      </c>
      <c r="H38" s="12">
        <v>48</v>
      </c>
      <c r="I38" t="s" s="18">
        <v>135</v>
      </c>
      <c r="J38" s="6"/>
      <c r="K38" s="6"/>
      <c r="L38" s="6"/>
    </row>
    <row r="39" ht="15" customHeight="1">
      <c r="A39" t="s" s="10">
        <v>120</v>
      </c>
      <c r="B39" t="s" s="10">
        <v>101</v>
      </c>
      <c r="C39" t="s" s="11">
        <v>136</v>
      </c>
      <c r="D39" t="s" s="11">
        <v>137</v>
      </c>
      <c r="E39" s="12"/>
      <c r="F39" t="s" s="11">
        <v>130</v>
      </c>
      <c r="G39" t="s" s="11">
        <v>138</v>
      </c>
      <c r="H39" s="12">
        <v>38</v>
      </c>
      <c r="I39" t="s" s="18">
        <v>139</v>
      </c>
      <c r="J39" s="6"/>
      <c r="K39" s="6"/>
      <c r="L39" s="6"/>
    </row>
    <row r="40" ht="15" customHeight="1">
      <c r="A40" t="s" s="10">
        <v>120</v>
      </c>
      <c r="B40" t="s" s="10">
        <v>101</v>
      </c>
      <c r="C40" t="s" s="11">
        <v>140</v>
      </c>
      <c r="D40" s="13"/>
      <c r="E40" s="12"/>
      <c r="F40" t="s" s="11">
        <v>130</v>
      </c>
      <c r="G40" t="s" s="11">
        <v>141</v>
      </c>
      <c r="H40" s="12">
        <v>62</v>
      </c>
      <c r="I40" t="s" s="18">
        <v>142</v>
      </c>
      <c r="J40" s="6"/>
      <c r="K40" s="6"/>
      <c r="L40" s="6"/>
    </row>
    <row r="41" ht="15" customHeight="1">
      <c r="A41" t="s" s="10">
        <v>120</v>
      </c>
      <c r="B41" t="s" s="10">
        <v>101</v>
      </c>
      <c r="C41" t="s" s="11">
        <v>143</v>
      </c>
      <c r="D41" s="13"/>
      <c r="E41" s="12"/>
      <c r="F41" t="s" s="11">
        <v>134</v>
      </c>
      <c r="G41" t="s" s="11">
        <v>39</v>
      </c>
      <c r="H41" s="12">
        <v>48</v>
      </c>
      <c r="I41" t="s" s="18">
        <v>135</v>
      </c>
      <c r="J41" s="6"/>
      <c r="K41" s="6"/>
      <c r="L41" s="6"/>
    </row>
    <row r="42" ht="15" customHeight="1">
      <c r="A42" t="s" s="10">
        <v>120</v>
      </c>
      <c r="B42" t="s" s="10">
        <v>101</v>
      </c>
      <c r="C42" t="s" s="11">
        <v>144</v>
      </c>
      <c r="D42" s="13"/>
      <c r="E42" s="12"/>
      <c r="F42" t="s" s="11">
        <v>134</v>
      </c>
      <c r="G42" t="s" s="11">
        <v>145</v>
      </c>
      <c r="H42" s="12">
        <v>96</v>
      </c>
      <c r="I42" t="s" s="18">
        <v>146</v>
      </c>
      <c r="J42" s="6"/>
      <c r="K42" s="6"/>
      <c r="L42" s="6"/>
    </row>
    <row r="43" ht="15" customHeight="1">
      <c r="A43" t="s" s="10">
        <v>147</v>
      </c>
      <c r="B43" t="s" s="10">
        <v>44</v>
      </c>
      <c r="C43" t="s" s="11">
        <v>45</v>
      </c>
      <c r="D43" t="s" s="11">
        <v>148</v>
      </c>
      <c r="E43" s="12">
        <v>250</v>
      </c>
      <c r="F43" t="s" s="11">
        <v>15</v>
      </c>
      <c r="G43" t="s" s="11">
        <v>149</v>
      </c>
      <c r="H43" s="12">
        <v>170</v>
      </c>
      <c r="I43" s="13"/>
      <c r="J43" s="6"/>
      <c r="K43" s="6"/>
      <c r="L43" s="6"/>
    </row>
    <row r="44" ht="15" customHeight="1">
      <c r="A44" t="s" s="10">
        <v>147</v>
      </c>
      <c r="B44" t="s" s="10">
        <v>12</v>
      </c>
      <c r="C44" t="s" s="11">
        <v>150</v>
      </c>
      <c r="D44" t="s" s="11">
        <v>151</v>
      </c>
      <c r="E44" s="12">
        <v>250</v>
      </c>
      <c r="F44" t="s" s="11">
        <v>15</v>
      </c>
      <c r="G44" t="s" s="11">
        <v>152</v>
      </c>
      <c r="H44" s="12">
        <v>312</v>
      </c>
      <c r="I44" s="13"/>
      <c r="J44" s="6"/>
      <c r="K44" s="6"/>
      <c r="L44" s="6"/>
    </row>
    <row r="45" ht="15" customHeight="1">
      <c r="A45" t="s" s="10">
        <v>147</v>
      </c>
      <c r="B45" t="s" s="10">
        <v>17</v>
      </c>
      <c r="C45" t="s" s="11">
        <v>153</v>
      </c>
      <c r="D45" t="s" s="11">
        <v>154</v>
      </c>
      <c r="E45" s="12">
        <v>250</v>
      </c>
      <c r="F45" t="s" s="11">
        <v>15</v>
      </c>
      <c r="G45" t="s" s="11">
        <v>155</v>
      </c>
      <c r="H45" s="12">
        <v>88</v>
      </c>
      <c r="I45" s="13"/>
      <c r="J45" s="6"/>
      <c r="K45" s="6"/>
      <c r="L45" s="6"/>
    </row>
    <row r="46" ht="15" customHeight="1">
      <c r="A46" t="s" s="10">
        <v>147</v>
      </c>
      <c r="B46" t="s" s="10">
        <v>27</v>
      </c>
      <c r="C46" t="s" s="11">
        <v>156</v>
      </c>
      <c r="D46" t="s" s="11">
        <v>36</v>
      </c>
      <c r="E46" s="12">
        <v>250</v>
      </c>
      <c r="F46" t="s" s="11">
        <v>15</v>
      </c>
      <c r="G46" t="s" s="11">
        <v>157</v>
      </c>
      <c r="H46" s="12">
        <v>316</v>
      </c>
      <c r="I46" s="13"/>
      <c r="J46" s="6"/>
      <c r="K46" s="6"/>
      <c r="L46" s="6"/>
    </row>
    <row r="47" ht="15" customHeight="1">
      <c r="A47" t="s" s="10">
        <v>147</v>
      </c>
      <c r="B47" t="s" s="10">
        <v>56</v>
      </c>
      <c r="C47" t="s" s="11">
        <v>158</v>
      </c>
      <c r="D47" t="s" s="11">
        <v>159</v>
      </c>
      <c r="E47" s="12">
        <v>250</v>
      </c>
      <c r="F47" t="s" s="11">
        <v>15</v>
      </c>
      <c r="G47" t="s" s="11">
        <v>160</v>
      </c>
      <c r="H47" s="12">
        <v>108</v>
      </c>
      <c r="I47" s="13"/>
      <c r="J47" s="6"/>
      <c r="K47" s="6"/>
      <c r="L47" s="6"/>
    </row>
    <row r="48" ht="15" customHeight="1">
      <c r="A48" t="s" s="10">
        <v>147</v>
      </c>
      <c r="B48" t="s" s="10">
        <v>60</v>
      </c>
      <c r="C48" t="s" s="11">
        <v>161</v>
      </c>
      <c r="D48" t="s" s="11">
        <v>162</v>
      </c>
      <c r="E48" s="12">
        <v>250</v>
      </c>
      <c r="F48" t="s" s="11">
        <v>15</v>
      </c>
      <c r="G48" t="s" s="11">
        <v>163</v>
      </c>
      <c r="H48" s="12">
        <v>148</v>
      </c>
      <c r="I48" s="13"/>
      <c r="J48" s="6"/>
      <c r="K48" s="6"/>
      <c r="L48" s="6"/>
    </row>
    <row r="49" ht="15" customHeight="1">
      <c r="A49" t="s" s="10">
        <v>147</v>
      </c>
      <c r="B49" t="s" s="10">
        <v>64</v>
      </c>
      <c r="C49" t="s" s="11">
        <v>164</v>
      </c>
      <c r="D49" t="s" s="11">
        <v>165</v>
      </c>
      <c r="E49" s="12">
        <v>250</v>
      </c>
      <c r="F49" t="s" s="11">
        <v>15</v>
      </c>
      <c r="G49" s="13"/>
      <c r="H49" s="12"/>
      <c r="I49" s="13"/>
      <c r="J49" s="6"/>
      <c r="K49" s="6"/>
      <c r="L49" s="6"/>
    </row>
    <row r="50" ht="15" customHeight="1">
      <c r="A50" t="s" s="10">
        <v>147</v>
      </c>
      <c r="B50" t="s" s="10">
        <v>101</v>
      </c>
      <c r="C50" t="s" s="11">
        <v>166</v>
      </c>
      <c r="D50" s="13"/>
      <c r="E50" s="12"/>
      <c r="F50" t="s" s="11">
        <v>134</v>
      </c>
      <c r="G50" t="s" s="11">
        <v>167</v>
      </c>
      <c r="H50" s="12">
        <v>162</v>
      </c>
      <c r="I50" t="s" s="18">
        <v>168</v>
      </c>
      <c r="J50" s="6"/>
      <c r="K50" s="6"/>
      <c r="L50" s="6"/>
    </row>
    <row r="51" ht="15" customHeight="1">
      <c r="A51" t="s" s="10">
        <v>169</v>
      </c>
      <c r="B51" t="s" s="10">
        <v>44</v>
      </c>
      <c r="C51" t="s" s="11">
        <v>170</v>
      </c>
      <c r="D51" t="s" s="11">
        <v>87</v>
      </c>
      <c r="E51" s="14">
        <v>250</v>
      </c>
      <c r="F51" t="s" s="11">
        <v>15</v>
      </c>
      <c r="G51" t="s" s="11">
        <v>171</v>
      </c>
      <c r="H51" s="14">
        <v>100</v>
      </c>
      <c r="I51" s="13"/>
      <c r="J51" s="6"/>
      <c r="K51" s="6"/>
      <c r="L51" s="6"/>
    </row>
    <row r="52" ht="15" customHeight="1">
      <c r="A52" t="s" s="10">
        <v>169</v>
      </c>
      <c r="B52" t="s" s="10">
        <v>17</v>
      </c>
      <c r="C52" t="s" s="11">
        <v>172</v>
      </c>
      <c r="D52" t="s" s="11">
        <v>173</v>
      </c>
      <c r="E52" s="14">
        <v>250</v>
      </c>
      <c r="F52" t="s" s="11">
        <v>15</v>
      </c>
      <c r="G52" t="s" s="11">
        <v>174</v>
      </c>
      <c r="H52" s="14">
        <v>124</v>
      </c>
      <c r="I52" s="13"/>
      <c r="J52" s="6"/>
      <c r="K52" s="6"/>
      <c r="L52" s="6"/>
    </row>
    <row r="53" ht="15" customHeight="1">
      <c r="A53" t="s" s="19">
        <v>169</v>
      </c>
      <c r="B53" t="s" s="19">
        <v>56</v>
      </c>
      <c r="C53" t="s" s="19">
        <v>175</v>
      </c>
      <c r="D53" t="s" s="19">
        <v>176</v>
      </c>
      <c r="E53" s="20">
        <v>250</v>
      </c>
      <c r="F53" t="s" s="19">
        <v>15</v>
      </c>
      <c r="G53" t="s" s="19">
        <v>177</v>
      </c>
      <c r="H53" s="20">
        <v>146</v>
      </c>
      <c r="I53" s="6"/>
      <c r="J53" s="6"/>
      <c r="K53" s="6"/>
      <c r="L53" s="6"/>
    </row>
    <row r="54" ht="15" customHeight="1">
      <c r="A54" t="s" s="19">
        <v>169</v>
      </c>
      <c r="B54" t="s" s="19">
        <v>60</v>
      </c>
      <c r="C54" t="s" s="19">
        <v>178</v>
      </c>
      <c r="D54" t="s" s="19">
        <v>179</v>
      </c>
      <c r="E54" s="20">
        <v>250</v>
      </c>
      <c r="F54" t="s" s="19">
        <v>15</v>
      </c>
      <c r="G54" t="s" s="19">
        <v>180</v>
      </c>
      <c r="H54" s="20">
        <v>428</v>
      </c>
      <c r="I54" s="6"/>
      <c r="J54" s="6"/>
      <c r="K54" s="6"/>
      <c r="L54" s="6"/>
    </row>
    <row r="55" ht="15" customHeight="1">
      <c r="A55" t="s" s="19">
        <v>169</v>
      </c>
      <c r="B55" t="s" s="19">
        <v>12</v>
      </c>
      <c r="C55" t="s" s="19">
        <v>181</v>
      </c>
      <c r="D55" t="s" s="19">
        <v>182</v>
      </c>
      <c r="E55" s="20">
        <v>250</v>
      </c>
      <c r="F55" t="s" s="19">
        <v>15</v>
      </c>
      <c r="G55" s="6"/>
      <c r="H55" s="6"/>
      <c r="I55" s="6"/>
      <c r="J55" s="6"/>
      <c r="K55" s="6"/>
      <c r="L55" s="6"/>
    </row>
    <row r="56" ht="15" customHeight="1">
      <c r="A56" t="s" s="19">
        <v>169</v>
      </c>
      <c r="B56" t="s" s="19">
        <v>27</v>
      </c>
      <c r="C56" t="s" s="19">
        <v>183</v>
      </c>
      <c r="D56" t="s" s="19">
        <v>184</v>
      </c>
      <c r="E56" s="20">
        <v>250</v>
      </c>
      <c r="F56" t="s" s="19">
        <v>15</v>
      </c>
      <c r="G56" s="6"/>
      <c r="H56" s="6"/>
      <c r="I56" s="6"/>
      <c r="J56" s="6"/>
      <c r="K56" s="6"/>
      <c r="L56" s="6"/>
    </row>
    <row r="57" ht="15" customHeight="1">
      <c r="A57" t="s" s="10">
        <v>169</v>
      </c>
      <c r="B57" t="s" s="10">
        <v>101</v>
      </c>
      <c r="C57" t="s" s="11">
        <v>175</v>
      </c>
      <c r="D57" t="s" s="11">
        <v>176</v>
      </c>
      <c r="E57" s="14"/>
      <c r="F57" t="s" s="11">
        <v>134</v>
      </c>
      <c r="G57" t="s" s="11">
        <v>185</v>
      </c>
      <c r="H57" s="14">
        <v>170</v>
      </c>
      <c r="I57" t="s" s="18">
        <v>186</v>
      </c>
      <c r="J57" s="6"/>
      <c r="K57" s="6"/>
      <c r="L57" s="6"/>
    </row>
    <row r="58" ht="15" customHeight="1">
      <c r="A58" t="s" s="19">
        <v>187</v>
      </c>
      <c r="B58" t="s" s="19">
        <v>17</v>
      </c>
      <c r="C58" t="s" s="19">
        <v>188</v>
      </c>
      <c r="D58" t="s" s="19">
        <v>189</v>
      </c>
      <c r="E58" s="20">
        <v>250</v>
      </c>
      <c r="F58" t="s" s="19">
        <v>15</v>
      </c>
      <c r="G58" s="19"/>
      <c r="H58" s="20"/>
      <c r="I58" t="s" s="19">
        <v>190</v>
      </c>
      <c r="J58" s="6"/>
      <c r="K58" s="6"/>
      <c r="L58" s="6"/>
    </row>
    <row r="59" ht="15" customHeight="1">
      <c r="A59" t="s" s="19">
        <v>187</v>
      </c>
      <c r="B59" t="s" s="19">
        <v>27</v>
      </c>
      <c r="C59" t="s" s="19">
        <v>13</v>
      </c>
      <c r="D59" t="s" s="19">
        <v>191</v>
      </c>
      <c r="E59" s="20">
        <v>250</v>
      </c>
      <c r="F59" t="s" s="19">
        <v>15</v>
      </c>
      <c r="G59" s="19"/>
      <c r="H59" s="20"/>
      <c r="I59" t="s" s="19">
        <v>190</v>
      </c>
      <c r="J59" s="6"/>
      <c r="K59" s="6"/>
      <c r="L59" s="6"/>
    </row>
    <row r="60" ht="15" customHeight="1">
      <c r="A60" t="s" s="10">
        <v>192</v>
      </c>
      <c r="B60" t="s" s="10">
        <v>101</v>
      </c>
      <c r="C60" t="s" s="11">
        <v>193</v>
      </c>
      <c r="D60" s="11"/>
      <c r="E60" s="14"/>
      <c r="F60" t="s" s="11">
        <v>194</v>
      </c>
      <c r="G60" t="s" s="11">
        <v>195</v>
      </c>
      <c r="H60" s="14">
        <v>1300</v>
      </c>
      <c r="I60" t="s" s="18">
        <v>196</v>
      </c>
      <c r="J60" s="6"/>
      <c r="K60" s="6"/>
      <c r="L60" s="6"/>
    </row>
  </sheetData>
  <mergeCells count="1">
    <mergeCell ref="A1:I1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21" customWidth="1"/>
    <col min="2" max="2" width="32" style="21" customWidth="1"/>
    <col min="3" max="3" width="15" style="21" customWidth="1"/>
    <col min="4" max="4" width="14" style="21" customWidth="1"/>
    <col min="5" max="5" width="30" style="21" customWidth="1"/>
    <col min="6" max="16384" width="8.67188" style="21" customWidth="1"/>
  </cols>
  <sheetData>
    <row r="1" ht="27.75" customHeight="1">
      <c r="A1" t="s" s="22">
        <v>197</v>
      </c>
      <c r="B1" s="3"/>
      <c r="C1" s="4"/>
      <c r="D1" s="4"/>
      <c r="E1" s="5"/>
    </row>
    <row r="2" ht="13.5" customHeight="1">
      <c r="A2" t="s" s="23">
        <v>198</v>
      </c>
      <c r="B2" s="3"/>
      <c r="C2" s="4"/>
      <c r="D2" s="4"/>
      <c r="E2" s="5"/>
    </row>
    <row r="3" ht="24" customHeight="1">
      <c r="A3" t="s" s="24">
        <v>199</v>
      </c>
      <c r="B3" t="s" s="24">
        <v>200</v>
      </c>
      <c r="C3" t="s" s="24">
        <v>201</v>
      </c>
      <c r="D3" t="s" s="24">
        <v>202</v>
      </c>
      <c r="E3" t="s" s="24">
        <v>203</v>
      </c>
    </row>
    <row r="4" ht="15" customHeight="1">
      <c r="A4" t="s" s="25">
        <v>204</v>
      </c>
      <c r="B4" t="s" s="25">
        <v>205</v>
      </c>
      <c r="C4" s="26">
        <v>22500</v>
      </c>
      <c r="D4" s="12">
        <v>2790000</v>
      </c>
      <c r="E4" t="s" s="27">
        <v>206</v>
      </c>
    </row>
    <row r="5" ht="15" customHeight="1">
      <c r="A5" t="s" s="25">
        <v>204</v>
      </c>
      <c r="B5" t="s" s="25">
        <v>207</v>
      </c>
      <c r="C5" s="26">
        <v>-4500</v>
      </c>
      <c r="D5" s="12">
        <v>-558000</v>
      </c>
      <c r="E5" s="28"/>
    </row>
    <row r="6" ht="15" customHeight="1">
      <c r="A6" t="s" s="25">
        <v>204</v>
      </c>
      <c r="B6" t="s" s="25">
        <v>208</v>
      </c>
      <c r="C6" s="26">
        <v>-2419.35</v>
      </c>
      <c r="D6" s="12">
        <v>-299999</v>
      </c>
      <c r="E6" t="s" s="29">
        <v>209</v>
      </c>
    </row>
    <row r="7" ht="15" customHeight="1">
      <c r="A7" t="s" s="25">
        <v>204</v>
      </c>
      <c r="B7" t="s" s="25">
        <v>210</v>
      </c>
      <c r="C7" s="26">
        <v>15580.65</v>
      </c>
      <c r="D7" s="12">
        <v>1932001</v>
      </c>
      <c r="E7" s="30"/>
    </row>
    <row r="8" ht="15" customHeight="1">
      <c r="A8" t="s" s="25">
        <v>211</v>
      </c>
      <c r="B8" t="s" s="25">
        <v>212</v>
      </c>
      <c r="C8" s="26">
        <v>5469.53</v>
      </c>
      <c r="D8" s="12">
        <v>678222</v>
      </c>
      <c r="E8" t="s" s="27">
        <v>213</v>
      </c>
    </row>
    <row r="9" ht="15" customHeight="1">
      <c r="A9" t="s" s="25">
        <v>211</v>
      </c>
      <c r="B9" t="s" s="25">
        <v>214</v>
      </c>
      <c r="C9" s="26">
        <v>129.03</v>
      </c>
      <c r="D9" s="12">
        <v>16000</v>
      </c>
      <c r="E9" t="s" s="27">
        <v>215</v>
      </c>
    </row>
    <row r="10" ht="15" customHeight="1">
      <c r="A10" t="s" s="25">
        <v>211</v>
      </c>
      <c r="B10" t="s" s="25">
        <v>216</v>
      </c>
      <c r="C10" s="26">
        <v>5598.56</v>
      </c>
      <c r="D10" s="12">
        <v>694221</v>
      </c>
      <c r="E10" s="30"/>
    </row>
    <row r="11" ht="15" customHeight="1">
      <c r="A11" t="s" s="25">
        <v>217</v>
      </c>
      <c r="B11" t="s" s="25">
        <v>218</v>
      </c>
      <c r="C11" s="26">
        <v>-3225.81</v>
      </c>
      <c r="D11" s="12">
        <v>-400000</v>
      </c>
      <c r="E11" t="s" s="29">
        <v>219</v>
      </c>
    </row>
    <row r="12" ht="15" customHeight="1">
      <c r="A12" t="s" s="31">
        <v>217</v>
      </c>
      <c r="B12" t="s" s="31">
        <v>220</v>
      </c>
      <c r="C12" s="32">
        <v>-806.45</v>
      </c>
      <c r="D12" s="33">
        <v>-100000</v>
      </c>
      <c r="E12" t="s" s="34">
        <v>221</v>
      </c>
    </row>
    <row r="13" ht="18.75" customHeight="1">
      <c r="A13" t="s" s="35">
        <v>222</v>
      </c>
      <c r="B13" t="s" s="35">
        <v>223</v>
      </c>
      <c r="C13" s="36">
        <v>17146.95</v>
      </c>
      <c r="D13" s="37">
        <v>2126222</v>
      </c>
      <c r="E13" t="s" s="38">
        <v>224</v>
      </c>
    </row>
    <row r="14" ht="13.5" customHeight="1">
      <c r="A14" s="39"/>
      <c r="B14" s="39"/>
      <c r="C14" s="39"/>
      <c r="D14" s="39"/>
      <c r="E14" s="39"/>
    </row>
    <row r="15" ht="13.5" customHeight="1">
      <c r="A15" s="6"/>
      <c r="B15" s="6"/>
      <c r="C15" s="6"/>
      <c r="D15" s="6"/>
      <c r="E15" s="6"/>
    </row>
    <row r="16" ht="15" customHeight="1">
      <c r="A16" t="s" s="40">
        <v>225</v>
      </c>
      <c r="B16" s="6"/>
      <c r="C16" s="6"/>
      <c r="D16" s="6"/>
      <c r="E16" s="6"/>
    </row>
    <row r="17" ht="15" customHeight="1">
      <c r="A17" t="s" s="41">
        <v>226</v>
      </c>
      <c r="B17" t="s" s="41">
        <v>227</v>
      </c>
      <c r="C17" t="s" s="41">
        <v>228</v>
      </c>
      <c r="D17" t="s" s="41">
        <v>229</v>
      </c>
      <c r="E17" s="6"/>
    </row>
    <row r="18" ht="15" customHeight="1">
      <c r="A18" t="s" s="18">
        <v>230</v>
      </c>
      <c r="B18" s="26">
        <v>11548.39</v>
      </c>
      <c r="C18" s="12">
        <v>1432000</v>
      </c>
      <c r="D18" t="s" s="27">
        <v>231</v>
      </c>
      <c r="E18" s="6"/>
    </row>
    <row r="19" ht="15" customHeight="1">
      <c r="A19" t="s" s="18">
        <v>232</v>
      </c>
      <c r="B19" t="s" s="42">
        <v>101</v>
      </c>
      <c r="C19" t="s" s="42">
        <v>101</v>
      </c>
      <c r="D19" t="s" s="27">
        <v>233</v>
      </c>
      <c r="E19" s="6"/>
    </row>
    <row r="20" ht="15" customHeight="1">
      <c r="A20" t="s" s="18">
        <v>234</v>
      </c>
      <c r="B20" s="26">
        <v>17146.95</v>
      </c>
      <c r="C20" s="12">
        <v>2126222</v>
      </c>
      <c r="D20" t="s" s="27">
        <v>235</v>
      </c>
      <c r="E20" s="6"/>
    </row>
  </sheetData>
  <mergeCells count="2">
    <mergeCell ref="A2:E2"/>
    <mergeCell ref="A1:E1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H20"/>
  <sheetViews>
    <sheetView workbookViewId="0" showGridLines="0" defaultGridColor="1"/>
  </sheetViews>
  <sheetFormatPr defaultColWidth="8.66667" defaultRowHeight="15" customHeight="1" outlineLevelRow="0" outlineLevelCol="0"/>
  <cols>
    <col min="1" max="1" width="18" style="43" customWidth="1"/>
    <col min="2" max="3" width="13" style="43" customWidth="1"/>
    <col min="4" max="4" width="11" style="43" customWidth="1"/>
    <col min="5" max="5" width="18" style="43" customWidth="1"/>
    <col min="6" max="6" width="15" style="43" customWidth="1"/>
    <col min="7" max="8" width="16" style="43" customWidth="1"/>
    <col min="9" max="16384" width="8.67188" style="43" customWidth="1"/>
  </cols>
  <sheetData>
    <row r="1" ht="25.5" customHeight="1">
      <c r="A1" t="s" s="44">
        <v>236</v>
      </c>
      <c r="B1" s="3"/>
      <c r="C1" s="4"/>
      <c r="D1" s="4"/>
      <c r="E1" s="4"/>
      <c r="F1" s="4"/>
      <c r="G1" s="4"/>
      <c r="H1" s="5"/>
    </row>
    <row r="2" ht="13.5" customHeight="1">
      <c r="A2" t="s" s="45">
        <v>237</v>
      </c>
      <c r="B2" s="3"/>
      <c r="C2" s="4"/>
      <c r="D2" s="4"/>
      <c r="E2" s="4"/>
      <c r="F2" s="4"/>
      <c r="G2" s="4"/>
      <c r="H2" s="5"/>
    </row>
    <row r="3" ht="30" customHeight="1">
      <c r="A3" t="s" s="8">
        <v>238</v>
      </c>
      <c r="B3" t="s" s="8">
        <v>239</v>
      </c>
      <c r="C3" t="s" s="8">
        <v>240</v>
      </c>
      <c r="D3" t="s" s="8">
        <v>241</v>
      </c>
      <c r="E3" t="s" s="8">
        <v>242</v>
      </c>
      <c r="F3" t="s" s="8">
        <v>243</v>
      </c>
      <c r="G3" t="s" s="8">
        <v>244</v>
      </c>
      <c r="H3" t="s" s="8">
        <v>245</v>
      </c>
    </row>
    <row r="4" ht="15" customHeight="1">
      <c r="A4" t="s" s="46">
        <v>246</v>
      </c>
      <c r="B4" s="12">
        <v>128</v>
      </c>
      <c r="C4" s="12">
        <v>24</v>
      </c>
      <c r="D4" s="12">
        <v>104</v>
      </c>
      <c r="E4" s="26">
        <v>5179.8</v>
      </c>
      <c r="F4" s="26">
        <v>1356</v>
      </c>
      <c r="G4" s="26">
        <v>490.34</v>
      </c>
      <c r="H4" s="26">
        <v>4314.14</v>
      </c>
    </row>
    <row r="5" ht="15" customHeight="1">
      <c r="A5" t="s" s="46">
        <v>247</v>
      </c>
      <c r="B5" s="12">
        <v>45</v>
      </c>
      <c r="C5" s="12">
        <v>13</v>
      </c>
      <c r="D5" s="12">
        <v>32</v>
      </c>
      <c r="E5" s="26">
        <v>2787.5</v>
      </c>
      <c r="F5" s="26">
        <v>1080</v>
      </c>
      <c r="G5" s="26">
        <v>314.91</v>
      </c>
      <c r="H5" s="26">
        <v>2022.41</v>
      </c>
    </row>
    <row r="6" ht="15" customHeight="1">
      <c r="A6" t="s" s="46">
        <v>248</v>
      </c>
      <c r="B6" s="12">
        <v>24</v>
      </c>
      <c r="C6" s="12">
        <v>8</v>
      </c>
      <c r="D6" s="12">
        <v>16</v>
      </c>
      <c r="E6" s="26">
        <v>609.12</v>
      </c>
      <c r="F6" s="26">
        <v>304</v>
      </c>
      <c r="G6" s="26">
        <v>100.96</v>
      </c>
      <c r="H6" s="26">
        <v>406.08</v>
      </c>
    </row>
    <row r="7" ht="15" customHeight="1">
      <c r="A7" t="s" s="46">
        <v>249</v>
      </c>
      <c r="B7" s="12">
        <v>50</v>
      </c>
      <c r="C7" s="12">
        <v>16</v>
      </c>
      <c r="D7" s="12">
        <v>34</v>
      </c>
      <c r="E7" s="26">
        <v>1595.55</v>
      </c>
      <c r="F7" s="26">
        <v>592</v>
      </c>
      <c r="G7" s="26">
        <v>189.49</v>
      </c>
      <c r="H7" s="26">
        <v>1193.04</v>
      </c>
    </row>
    <row r="8" ht="15" customHeight="1">
      <c r="A8" t="s" s="46">
        <v>250</v>
      </c>
      <c r="B8" s="12">
        <v>5</v>
      </c>
      <c r="C8" s="12">
        <v>1</v>
      </c>
      <c r="D8" s="12">
        <v>4</v>
      </c>
      <c r="E8" s="26">
        <v>136</v>
      </c>
      <c r="F8" s="26">
        <v>40</v>
      </c>
      <c r="G8" s="26">
        <v>12.8</v>
      </c>
      <c r="H8" s="26">
        <v>108.8</v>
      </c>
    </row>
    <row r="9" ht="15" customHeight="1">
      <c r="A9" t="s" s="46">
        <v>251</v>
      </c>
      <c r="B9" s="12">
        <v>20</v>
      </c>
      <c r="C9" s="12">
        <v>3</v>
      </c>
      <c r="D9" s="12">
        <v>17</v>
      </c>
      <c r="E9" s="26">
        <v>634.6</v>
      </c>
      <c r="F9" s="26">
        <v>144</v>
      </c>
      <c r="G9" s="26">
        <v>48.81</v>
      </c>
      <c r="H9" s="26">
        <v>539.41</v>
      </c>
    </row>
    <row r="10" ht="15" customHeight="1">
      <c r="A10" t="s" s="46">
        <v>252</v>
      </c>
      <c r="B10" s="12">
        <v>15</v>
      </c>
      <c r="C10" s="12">
        <v>0</v>
      </c>
      <c r="D10" s="12">
        <v>15</v>
      </c>
      <c r="E10" s="26">
        <v>516.75</v>
      </c>
      <c r="F10" s="26">
        <v>0</v>
      </c>
      <c r="G10" s="26">
        <v>0</v>
      </c>
      <c r="H10" s="26">
        <v>516.75</v>
      </c>
    </row>
    <row r="11" ht="15" customHeight="1">
      <c r="A11" t="s" s="47">
        <v>253</v>
      </c>
      <c r="B11" s="48">
        <v>287</v>
      </c>
      <c r="C11" s="48">
        <v>65</v>
      </c>
      <c r="D11" s="48">
        <v>222</v>
      </c>
      <c r="E11" s="49">
        <v>11459.32</v>
      </c>
      <c r="F11" s="49">
        <v>3516</v>
      </c>
      <c r="G11" s="49">
        <v>1157.31</v>
      </c>
      <c r="H11" s="49">
        <v>9100.629999999999</v>
      </c>
    </row>
    <row r="12" ht="13.5" customHeight="1">
      <c r="A12" s="6"/>
      <c r="B12" s="6"/>
      <c r="C12" s="6"/>
      <c r="D12" s="6"/>
      <c r="E12" s="6"/>
      <c r="F12" s="6"/>
      <c r="G12" s="6"/>
      <c r="H12" s="6"/>
    </row>
    <row r="13" ht="15" customHeight="1">
      <c r="A13" t="s" s="18">
        <v>254</v>
      </c>
      <c r="B13" s="12">
        <v>287</v>
      </c>
      <c r="C13" s="6"/>
      <c r="D13" s="6"/>
      <c r="E13" s="6"/>
      <c r="F13" s="6"/>
      <c r="G13" s="6"/>
      <c r="H13" s="6"/>
    </row>
    <row r="14" ht="15" customHeight="1">
      <c r="A14" t="s" s="18">
        <v>255</v>
      </c>
      <c r="B14" s="12">
        <v>65</v>
      </c>
      <c r="C14" s="6"/>
      <c r="D14" s="6"/>
      <c r="E14" s="6"/>
      <c r="F14" s="6"/>
      <c r="G14" s="6"/>
      <c r="H14" s="6"/>
    </row>
    <row r="15" ht="15" customHeight="1">
      <c r="A15" t="s" s="18">
        <v>256</v>
      </c>
      <c r="B15" s="12">
        <v>222</v>
      </c>
      <c r="C15" s="6"/>
      <c r="D15" s="6"/>
      <c r="E15" s="6"/>
      <c r="F15" s="6"/>
      <c r="G15" s="6"/>
      <c r="H15" s="6"/>
    </row>
    <row r="16" ht="15" customHeight="1">
      <c r="A16" t="s" s="18">
        <v>257</v>
      </c>
      <c r="B16" s="26">
        <v>11459.32</v>
      </c>
      <c r="C16" s="6"/>
      <c r="D16" s="6"/>
      <c r="E16" s="6"/>
      <c r="F16" s="6"/>
      <c r="G16" s="6"/>
      <c r="H16" s="6"/>
    </row>
    <row r="17" ht="15" customHeight="1">
      <c r="A17" t="s" s="18">
        <v>258</v>
      </c>
      <c r="B17" s="26">
        <v>3516</v>
      </c>
      <c r="C17" s="6"/>
      <c r="D17" s="6"/>
      <c r="E17" s="6"/>
      <c r="F17" s="6"/>
      <c r="G17" s="6"/>
      <c r="H17" s="6"/>
    </row>
    <row r="18" ht="15" customHeight="1">
      <c r="A18" t="s" s="18">
        <v>259</v>
      </c>
      <c r="B18" s="26">
        <v>1157.31</v>
      </c>
      <c r="C18" s="6"/>
      <c r="D18" s="6"/>
      <c r="E18" s="6"/>
      <c r="F18" s="6"/>
      <c r="G18" s="6"/>
      <c r="H18" s="6"/>
    </row>
    <row r="19" ht="15" customHeight="1">
      <c r="A19" t="s" s="18">
        <v>260</v>
      </c>
      <c r="B19" s="26">
        <v>9100.629999999999</v>
      </c>
      <c r="C19" s="6"/>
      <c r="D19" s="6"/>
      <c r="E19" s="6"/>
      <c r="F19" s="6"/>
      <c r="G19" s="6"/>
      <c r="H19" s="6"/>
    </row>
    <row r="20" ht="15" customHeight="1">
      <c r="A20" t="s" s="18">
        <v>261</v>
      </c>
      <c r="B20" s="26">
        <v>358.87</v>
      </c>
      <c r="C20" s="6"/>
      <c r="D20" s="6"/>
      <c r="E20" s="6"/>
      <c r="F20" s="6"/>
      <c r="G20" s="6"/>
      <c r="H20" s="6"/>
    </row>
  </sheetData>
  <mergeCells count="2">
    <mergeCell ref="A2:H2"/>
    <mergeCell ref="A1:H1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27"/>
  <sheetViews>
    <sheetView workbookViewId="0" showGridLines="0" defaultGridColor="1"/>
  </sheetViews>
  <sheetFormatPr defaultColWidth="8.66667" defaultRowHeight="15" customHeight="1" outlineLevelRow="0" outlineLevelCol="0"/>
  <cols>
    <col min="1" max="1" width="32" style="50" customWidth="1"/>
    <col min="2" max="2" width="12" style="50" customWidth="1"/>
    <col min="3" max="3" width="26" style="50" customWidth="1"/>
    <col min="4" max="5" width="8.67188" style="50" customWidth="1"/>
    <col min="6" max="16384" width="8.67188" style="50" customWidth="1"/>
  </cols>
  <sheetData>
    <row r="1" ht="27.75" customHeight="1">
      <c r="A1" t="s" s="2">
        <v>262</v>
      </c>
      <c r="B1" s="3"/>
      <c r="C1" s="5"/>
      <c r="D1" s="6"/>
      <c r="E1" s="6"/>
    </row>
    <row r="2" ht="24" customHeight="1">
      <c r="A2" t="s" s="51">
        <v>263</v>
      </c>
      <c r="B2" t="s" s="51">
        <v>264</v>
      </c>
      <c r="C2" t="s" s="51">
        <v>9</v>
      </c>
      <c r="D2" s="6"/>
      <c r="E2" s="6"/>
    </row>
    <row r="3" ht="15" customHeight="1">
      <c r="A3" t="s" s="52">
        <v>265</v>
      </c>
      <c r="B3" s="3"/>
      <c r="C3" s="5"/>
      <c r="D3" s="6"/>
      <c r="E3" s="6"/>
    </row>
    <row r="4" ht="15" customHeight="1">
      <c r="A4" t="s" s="11">
        <v>266</v>
      </c>
      <c r="B4" s="12">
        <v>60</v>
      </c>
      <c r="C4" t="s" s="23">
        <v>267</v>
      </c>
      <c r="D4" s="6"/>
      <c r="E4" s="6"/>
    </row>
    <row r="5" ht="15" customHeight="1">
      <c r="A5" t="s" s="11">
        <v>268</v>
      </c>
      <c r="B5" s="12">
        <v>62</v>
      </c>
      <c r="C5" t="s" s="23">
        <v>269</v>
      </c>
      <c r="D5" s="6"/>
      <c r="E5" s="6"/>
    </row>
    <row r="6" ht="15" customHeight="1">
      <c r="A6" t="s" s="11">
        <v>270</v>
      </c>
      <c r="B6" s="12">
        <v>70</v>
      </c>
      <c r="C6" t="s" s="23">
        <v>271</v>
      </c>
      <c r="D6" s="6"/>
      <c r="E6" s="6"/>
    </row>
    <row r="7" ht="15" customHeight="1">
      <c r="A7" t="s" s="11">
        <v>272</v>
      </c>
      <c r="B7" s="12">
        <v>164</v>
      </c>
      <c r="C7" t="s" s="23">
        <v>273</v>
      </c>
      <c r="D7" s="6"/>
      <c r="E7" s="6"/>
    </row>
    <row r="8" ht="15" customHeight="1">
      <c r="A8" t="s" s="11">
        <v>274</v>
      </c>
      <c r="B8" s="12">
        <v>124</v>
      </c>
      <c r="C8" t="s" s="23">
        <v>275</v>
      </c>
      <c r="D8" s="6"/>
      <c r="E8" s="6"/>
    </row>
    <row r="9" ht="15" customHeight="1">
      <c r="A9" t="s" s="11">
        <v>276</v>
      </c>
      <c r="B9" s="12">
        <v>44</v>
      </c>
      <c r="C9" s="53"/>
      <c r="D9" s="6"/>
      <c r="E9" s="6"/>
    </row>
    <row r="10" ht="15" customHeight="1">
      <c r="A10" t="s" s="46">
        <v>174</v>
      </c>
      <c r="B10" s="12">
        <v>124</v>
      </c>
      <c r="C10" t="s" s="23">
        <v>277</v>
      </c>
      <c r="D10" s="6"/>
      <c r="E10" s="6"/>
    </row>
    <row r="11" ht="15" customHeight="1">
      <c r="A11" t="s" s="52">
        <v>278</v>
      </c>
      <c r="B11" s="20"/>
      <c r="C11" s="20"/>
      <c r="D11" s="6"/>
      <c r="E11" s="6"/>
    </row>
    <row r="12" ht="15" customHeight="1">
      <c r="A12" t="s" s="11">
        <v>279</v>
      </c>
      <c r="B12" s="12">
        <v>52</v>
      </c>
      <c r="C12" s="53"/>
      <c r="D12" s="6"/>
      <c r="E12" s="6"/>
    </row>
    <row r="13" ht="15" customHeight="1">
      <c r="A13" t="s" s="11">
        <v>280</v>
      </c>
      <c r="B13" s="12">
        <v>52</v>
      </c>
      <c r="C13" s="53"/>
      <c r="D13" s="6"/>
      <c r="E13" s="6"/>
    </row>
    <row r="14" ht="15" customHeight="1">
      <c r="A14" t="s" s="11">
        <v>281</v>
      </c>
      <c r="B14" s="12">
        <v>48</v>
      </c>
      <c r="C14" s="53"/>
      <c r="D14" s="6"/>
      <c r="E14" s="6"/>
    </row>
    <row r="15" ht="15" customHeight="1">
      <c r="A15" t="s" s="11">
        <v>282</v>
      </c>
      <c r="B15" s="12">
        <v>120</v>
      </c>
      <c r="C15" s="53"/>
      <c r="D15" s="6"/>
      <c r="E15" s="6"/>
    </row>
    <row r="16" ht="15" customHeight="1">
      <c r="A16" t="s" s="11">
        <v>30</v>
      </c>
      <c r="B16" s="12">
        <v>60</v>
      </c>
      <c r="C16" s="53"/>
      <c r="D16" s="6"/>
      <c r="E16" s="6"/>
    </row>
    <row r="17" ht="15" customHeight="1">
      <c r="A17" t="s" s="11">
        <v>283</v>
      </c>
      <c r="B17" s="12">
        <v>48</v>
      </c>
      <c r="C17" s="6"/>
      <c r="D17" s="6"/>
      <c r="E17" s="6"/>
    </row>
    <row r="18" ht="15" customHeight="1">
      <c r="A18" t="s" s="46">
        <v>284</v>
      </c>
      <c r="B18" s="12">
        <v>60</v>
      </c>
      <c r="C18" t="s" s="23">
        <v>285</v>
      </c>
      <c r="D18" s="6"/>
      <c r="E18" s="6"/>
    </row>
    <row r="19" ht="15" customHeight="1">
      <c r="A19" t="s" s="46">
        <v>286</v>
      </c>
      <c r="B19" s="12">
        <v>38</v>
      </c>
      <c r="C19" s="6"/>
      <c r="D19" s="6"/>
      <c r="E19" s="6"/>
    </row>
    <row r="20" ht="15" customHeight="1">
      <c r="A20" t="s" s="52">
        <v>287</v>
      </c>
      <c r="B20" s="20"/>
      <c r="C20" s="20"/>
      <c r="D20" s="6"/>
      <c r="E20" s="6"/>
    </row>
    <row r="21" ht="15" customHeight="1">
      <c r="A21" t="s" s="11">
        <v>288</v>
      </c>
      <c r="B21" s="12">
        <v>14</v>
      </c>
      <c r="C21" s="53"/>
      <c r="D21" s="6"/>
      <c r="E21" s="6"/>
    </row>
    <row r="22" ht="15" customHeight="1">
      <c r="A22" t="s" s="11">
        <v>289</v>
      </c>
      <c r="B22" s="12">
        <v>14</v>
      </c>
      <c r="C22" s="53"/>
      <c r="D22" s="6"/>
      <c r="E22" s="6"/>
    </row>
    <row r="23" ht="15" customHeight="1">
      <c r="A23" t="s" s="11">
        <v>290</v>
      </c>
      <c r="B23" s="12">
        <v>40</v>
      </c>
      <c r="C23" s="53"/>
      <c r="D23" s="6"/>
      <c r="E23" s="6"/>
    </row>
    <row r="24" ht="15" customHeight="1">
      <c r="A24" t="s" s="11">
        <v>291</v>
      </c>
      <c r="B24" s="12">
        <v>33</v>
      </c>
      <c r="C24" s="53"/>
      <c r="D24" s="6"/>
      <c r="E24" s="6"/>
    </row>
    <row r="25" ht="15" customHeight="1">
      <c r="A25" t="s" s="11">
        <v>292</v>
      </c>
      <c r="B25" s="12">
        <v>26</v>
      </c>
      <c r="C25" s="53"/>
      <c r="D25" s="6"/>
      <c r="E25" s="6"/>
    </row>
    <row r="26" ht="15" customHeight="1">
      <c r="A26" t="s" s="11">
        <v>293</v>
      </c>
      <c r="B26" s="12">
        <v>8</v>
      </c>
      <c r="C26" s="53"/>
      <c r="D26" s="6"/>
      <c r="E26" s="6"/>
    </row>
    <row r="27" ht="15" customHeight="1">
      <c r="A27" t="s" s="46">
        <v>294</v>
      </c>
      <c r="B27" s="12">
        <v>14</v>
      </c>
      <c r="C27" s="20"/>
      <c r="D27" s="6"/>
      <c r="E27" s="6"/>
    </row>
  </sheetData>
  <mergeCells count="2">
    <mergeCell ref="A1:C1"/>
    <mergeCell ref="A3:C3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8.66667" defaultRowHeight="15" customHeight="1" outlineLevelRow="0" outlineLevelCol="0"/>
  <cols>
    <col min="1" max="1" width="18" style="54" customWidth="1"/>
    <col min="2" max="2" width="8" style="54" customWidth="1"/>
    <col min="3" max="3" width="12" style="54" customWidth="1"/>
    <col min="4" max="4" width="14" style="54" customWidth="1"/>
    <col min="5" max="5" width="12" style="54" customWidth="1"/>
    <col min="6" max="6" width="9" style="54" customWidth="1"/>
    <col min="7" max="16384" width="8.67188" style="54" customWidth="1"/>
  </cols>
  <sheetData>
    <row r="1" ht="25.5" customHeight="1">
      <c r="A1" t="s" s="44">
        <v>295</v>
      </c>
      <c r="B1" s="3"/>
      <c r="C1" s="4"/>
      <c r="D1" s="4"/>
      <c r="E1" s="4"/>
      <c r="F1" s="5"/>
    </row>
    <row r="2" ht="24" customHeight="1">
      <c r="A2" t="s" s="8">
        <v>238</v>
      </c>
      <c r="B2" t="s" s="8">
        <v>296</v>
      </c>
      <c r="C2" t="s" s="8">
        <v>243</v>
      </c>
      <c r="D2" t="s" s="8">
        <v>297</v>
      </c>
      <c r="E2" t="s" s="8">
        <v>298</v>
      </c>
      <c r="F2" t="s" s="8">
        <v>299</v>
      </c>
    </row>
    <row r="3" ht="15" customHeight="1">
      <c r="A3" t="s" s="46">
        <v>246</v>
      </c>
      <c r="B3" s="12">
        <v>24</v>
      </c>
      <c r="C3" s="26">
        <v>1356</v>
      </c>
      <c r="D3" s="26">
        <v>828.22</v>
      </c>
      <c r="E3" s="26">
        <v>527.78</v>
      </c>
      <c r="F3" s="55">
        <v>0.389218289085546</v>
      </c>
    </row>
    <row r="4" ht="15" customHeight="1">
      <c r="A4" t="s" s="46">
        <v>247</v>
      </c>
      <c r="B4" s="12">
        <v>13</v>
      </c>
      <c r="C4" s="26">
        <v>1080</v>
      </c>
      <c r="D4" s="26">
        <v>748.75</v>
      </c>
      <c r="E4" s="26">
        <v>331.25</v>
      </c>
      <c r="F4" s="55">
        <v>0.306712962962963</v>
      </c>
    </row>
    <row r="5" ht="15" customHeight="1">
      <c r="A5" t="s" s="46">
        <v>248</v>
      </c>
      <c r="B5" s="12">
        <v>8</v>
      </c>
      <c r="C5" s="26">
        <v>304</v>
      </c>
      <c r="D5" s="26">
        <v>198.72</v>
      </c>
      <c r="E5" s="26">
        <v>105.28</v>
      </c>
      <c r="F5" s="55">
        <v>0.346315789473684</v>
      </c>
    </row>
    <row r="6" ht="15" customHeight="1">
      <c r="A6" t="s" s="46">
        <v>249</v>
      </c>
      <c r="B6" s="12">
        <v>16</v>
      </c>
      <c r="C6" s="26">
        <v>592</v>
      </c>
      <c r="D6" s="26">
        <v>408.01</v>
      </c>
      <c r="E6" s="26">
        <v>183.99</v>
      </c>
      <c r="F6" s="55">
        <v>0.310793918918919</v>
      </c>
    </row>
    <row r="7" ht="15" customHeight="1">
      <c r="A7" t="s" s="46">
        <v>250</v>
      </c>
      <c r="B7" s="12">
        <v>1</v>
      </c>
      <c r="C7" s="26">
        <v>40</v>
      </c>
      <c r="D7" s="26">
        <v>26.61</v>
      </c>
      <c r="E7" s="26">
        <v>13.39</v>
      </c>
      <c r="F7" s="55">
        <v>0.33475</v>
      </c>
    </row>
    <row r="8" ht="15" customHeight="1">
      <c r="A8" t="s" s="46">
        <v>251</v>
      </c>
      <c r="B8" s="12">
        <v>3</v>
      </c>
      <c r="C8" s="26">
        <v>144</v>
      </c>
      <c r="D8" s="26">
        <v>93.15000000000001</v>
      </c>
      <c r="E8" s="26">
        <v>50.85</v>
      </c>
      <c r="F8" s="55">
        <v>0.353125</v>
      </c>
    </row>
    <row r="9" ht="15" customHeight="1">
      <c r="A9" t="s" s="47">
        <v>300</v>
      </c>
      <c r="B9" s="48">
        <v>65</v>
      </c>
      <c r="C9" s="49">
        <v>3516</v>
      </c>
      <c r="D9" s="49">
        <v>2303.46</v>
      </c>
      <c r="E9" s="49">
        <v>1212.54</v>
      </c>
      <c r="F9" s="56">
        <v>0.344863481228669</v>
      </c>
    </row>
    <row r="10" ht="13.5" customHeight="1">
      <c r="A10" s="6"/>
      <c r="B10" s="6"/>
      <c r="C10" s="6"/>
      <c r="D10" s="6"/>
      <c r="E10" s="6"/>
      <c r="F10" s="6"/>
    </row>
  </sheetData>
  <mergeCells count="1">
    <mergeCell ref="A1:F1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I11"/>
  <sheetViews>
    <sheetView workbookViewId="0" showGridLines="0" defaultGridColor="1"/>
  </sheetViews>
  <sheetFormatPr defaultColWidth="8.66667" defaultRowHeight="15" customHeight="1" outlineLevelRow="0" outlineLevelCol="0"/>
  <cols>
    <col min="1" max="1" width="24" style="57" customWidth="1"/>
    <col min="2" max="2" width="16" style="57" customWidth="1"/>
    <col min="3" max="3" width="14" style="57" customWidth="1"/>
    <col min="4" max="4" width="16" style="57" customWidth="1"/>
    <col min="5" max="5" width="8" style="57" customWidth="1"/>
    <col min="6" max="6" width="12" style="57" customWidth="1"/>
    <col min="7" max="7" width="14" style="57" customWidth="1"/>
    <col min="8" max="8" width="12" style="57" customWidth="1"/>
    <col min="9" max="9" width="9" style="57" customWidth="1"/>
    <col min="10" max="16384" width="8.67188" style="57" customWidth="1"/>
  </cols>
  <sheetData>
    <row r="1" ht="24" customHeight="1">
      <c r="A1" t="s" s="58">
        <v>301</v>
      </c>
      <c r="B1" s="3"/>
      <c r="C1" s="4"/>
      <c r="D1" s="4"/>
      <c r="E1" s="4"/>
      <c r="F1" s="4"/>
      <c r="G1" s="4"/>
      <c r="H1" s="4"/>
      <c r="I1" s="5"/>
    </row>
    <row r="2" ht="13.5" customHeight="1">
      <c r="A2" t="s" s="45">
        <v>302</v>
      </c>
      <c r="B2" s="3"/>
      <c r="C2" s="4"/>
      <c r="D2" s="4"/>
      <c r="E2" s="4"/>
      <c r="F2" s="4"/>
      <c r="G2" s="4"/>
      <c r="H2" s="4"/>
      <c r="I2" s="5"/>
    </row>
    <row r="3" ht="30" customHeight="1">
      <c r="A3" t="s" s="8">
        <v>303</v>
      </c>
      <c r="B3" t="s" s="8">
        <v>304</v>
      </c>
      <c r="C3" t="s" s="8">
        <v>305</v>
      </c>
      <c r="D3" t="s" s="8">
        <v>306</v>
      </c>
      <c r="E3" t="s" s="8">
        <v>296</v>
      </c>
      <c r="F3" t="s" s="8">
        <v>243</v>
      </c>
      <c r="G3" t="s" s="8">
        <v>297</v>
      </c>
      <c r="H3" t="s" s="8">
        <v>298</v>
      </c>
      <c r="I3" t="s" s="8">
        <v>299</v>
      </c>
    </row>
    <row r="4" ht="15" customHeight="1">
      <c r="A4" t="s" s="46">
        <v>281</v>
      </c>
      <c r="B4" s="12">
        <v>4400</v>
      </c>
      <c r="C4" s="26">
        <v>28.39</v>
      </c>
      <c r="D4" t="s" s="46">
        <v>307</v>
      </c>
      <c r="E4" s="26">
        <v>9</v>
      </c>
      <c r="F4" s="26">
        <v>432</v>
      </c>
      <c r="G4" s="26">
        <v>255.51</v>
      </c>
      <c r="H4" s="26">
        <v>176.49</v>
      </c>
      <c r="I4" s="55">
        <v>0.408541666666667</v>
      </c>
    </row>
    <row r="5" ht="15" customHeight="1">
      <c r="A5" t="s" s="46">
        <v>266</v>
      </c>
      <c r="B5" s="12">
        <v>6050</v>
      </c>
      <c r="C5" s="26">
        <v>39.03</v>
      </c>
      <c r="D5" t="s" s="46">
        <v>308</v>
      </c>
      <c r="E5" s="26">
        <v>3</v>
      </c>
      <c r="F5" s="26">
        <v>192</v>
      </c>
      <c r="G5" s="26">
        <v>117.09</v>
      </c>
      <c r="H5" s="26">
        <v>74.91</v>
      </c>
      <c r="I5" s="55">
        <v>0.39015625</v>
      </c>
    </row>
    <row r="6" ht="15" customHeight="1">
      <c r="A6" t="s" s="46">
        <v>268</v>
      </c>
      <c r="B6" s="12">
        <v>6380</v>
      </c>
      <c r="C6" s="26">
        <v>41.16</v>
      </c>
      <c r="D6" t="s" s="46">
        <v>309</v>
      </c>
      <c r="E6" s="26">
        <v>3</v>
      </c>
      <c r="F6" s="26">
        <v>196</v>
      </c>
      <c r="G6" s="26">
        <v>123.48</v>
      </c>
      <c r="H6" s="26">
        <v>72.52</v>
      </c>
      <c r="I6" s="55">
        <v>0.37</v>
      </c>
    </row>
    <row r="7" ht="15" customHeight="1">
      <c r="A7" t="s" s="46">
        <v>270</v>
      </c>
      <c r="B7" s="12">
        <v>7150</v>
      </c>
      <c r="C7" s="26">
        <v>46.13</v>
      </c>
      <c r="D7" t="s" s="46">
        <v>310</v>
      </c>
      <c r="E7" s="26">
        <v>4</v>
      </c>
      <c r="F7" s="26">
        <v>296</v>
      </c>
      <c r="G7" s="26">
        <v>184.52</v>
      </c>
      <c r="H7" s="26">
        <v>111.48</v>
      </c>
      <c r="I7" s="55">
        <v>0.376621621621622</v>
      </c>
    </row>
    <row r="8" ht="15" customHeight="1">
      <c r="A8" t="s" s="46">
        <v>311</v>
      </c>
      <c r="B8" s="12">
        <v>4070</v>
      </c>
      <c r="C8" s="26">
        <v>26.26</v>
      </c>
      <c r="D8" t="s" s="46">
        <v>312</v>
      </c>
      <c r="E8" s="26">
        <v>2</v>
      </c>
      <c r="F8" s="26">
        <v>88</v>
      </c>
      <c r="G8" s="26">
        <v>52.52</v>
      </c>
      <c r="H8" s="26">
        <v>35.48</v>
      </c>
      <c r="I8" s="55">
        <v>0.403181818181818</v>
      </c>
    </row>
    <row r="9" ht="15" customHeight="1">
      <c r="A9" t="s" s="46">
        <v>313</v>
      </c>
      <c r="B9" s="12">
        <v>770</v>
      </c>
      <c r="C9" s="26">
        <v>4.97</v>
      </c>
      <c r="D9" t="s" s="46">
        <v>314</v>
      </c>
      <c r="E9" s="26">
        <v>2</v>
      </c>
      <c r="F9" s="26">
        <v>28</v>
      </c>
      <c r="G9" s="26">
        <v>9.94</v>
      </c>
      <c r="H9" s="26">
        <v>18.06</v>
      </c>
      <c r="I9" s="55">
        <v>0.645</v>
      </c>
    </row>
    <row r="10" ht="15" customHeight="1">
      <c r="A10" t="s" s="46">
        <v>315</v>
      </c>
      <c r="B10" s="12">
        <v>13200</v>
      </c>
      <c r="C10" s="26">
        <v>85.16</v>
      </c>
      <c r="D10" t="s" s="46">
        <v>316</v>
      </c>
      <c r="E10" s="26">
        <v>1</v>
      </c>
      <c r="F10" s="26">
        <v>124</v>
      </c>
      <c r="G10" s="26">
        <v>85.16</v>
      </c>
      <c r="H10" s="26">
        <v>38.84</v>
      </c>
      <c r="I10" s="55">
        <v>0.313225806451613</v>
      </c>
    </row>
    <row r="11" ht="15" customHeight="1">
      <c r="A11" t="s" s="25">
        <v>253</v>
      </c>
      <c r="B11" s="13"/>
      <c r="C11" s="13"/>
      <c r="D11" s="13"/>
      <c r="E11" s="26">
        <v>24</v>
      </c>
      <c r="F11" s="26">
        <v>1356</v>
      </c>
      <c r="G11" s="26">
        <v>828.22</v>
      </c>
      <c r="H11" s="26">
        <v>527.78</v>
      </c>
      <c r="I11" s="55">
        <v>0.389218289085546</v>
      </c>
    </row>
  </sheetData>
  <mergeCells count="2">
    <mergeCell ref="A1:I1"/>
    <mergeCell ref="A2:I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8.66667" defaultRowHeight="15" customHeight="1" outlineLevelRow="0" outlineLevelCol="0"/>
  <cols>
    <col min="1" max="1" width="26" style="59" customWidth="1"/>
    <col min="2" max="2" width="16" style="59" customWidth="1"/>
    <col min="3" max="3" width="14" style="59" customWidth="1"/>
    <col min="4" max="4" width="16" style="59" customWidth="1"/>
    <col min="5" max="5" width="8" style="59" customWidth="1"/>
    <col min="6" max="6" width="12" style="59" customWidth="1"/>
    <col min="7" max="7" width="14" style="59" customWidth="1"/>
    <col min="8" max="8" width="12" style="59" customWidth="1"/>
    <col min="9" max="9" width="9" style="59" customWidth="1"/>
    <col min="10" max="16384" width="8.67188" style="59" customWidth="1"/>
  </cols>
  <sheetData>
    <row r="1" ht="24" customHeight="1">
      <c r="A1" t="s" s="58">
        <v>317</v>
      </c>
      <c r="B1" s="3"/>
      <c r="C1" s="4"/>
      <c r="D1" s="4"/>
      <c r="E1" s="4"/>
      <c r="F1" s="4"/>
      <c r="G1" s="4"/>
      <c r="H1" s="4"/>
      <c r="I1" s="5"/>
    </row>
    <row r="2" ht="13.5" customHeight="1">
      <c r="A2" t="s" s="45">
        <v>318</v>
      </c>
      <c r="B2" s="3"/>
      <c r="C2" s="4"/>
      <c r="D2" s="4"/>
      <c r="E2" s="4"/>
      <c r="F2" s="4"/>
      <c r="G2" s="4"/>
      <c r="H2" s="4"/>
      <c r="I2" s="5"/>
    </row>
    <row r="3" ht="30" customHeight="1">
      <c r="A3" t="s" s="8">
        <v>303</v>
      </c>
      <c r="B3" t="s" s="8">
        <v>304</v>
      </c>
      <c r="C3" t="s" s="8">
        <v>305</v>
      </c>
      <c r="D3" t="s" s="8">
        <v>306</v>
      </c>
      <c r="E3" t="s" s="8">
        <v>296</v>
      </c>
      <c r="F3" t="s" s="8">
        <v>243</v>
      </c>
      <c r="G3" t="s" s="8">
        <v>297</v>
      </c>
      <c r="H3" t="s" s="8">
        <v>298</v>
      </c>
      <c r="I3" t="s" s="8">
        <v>299</v>
      </c>
    </row>
    <row r="4" ht="15" customHeight="1">
      <c r="A4" t="s" s="46">
        <v>319</v>
      </c>
      <c r="B4" s="12">
        <v>11000</v>
      </c>
      <c r="C4" s="26">
        <v>88.70999999999999</v>
      </c>
      <c r="D4" t="s" s="46">
        <v>320</v>
      </c>
      <c r="E4" s="26">
        <v>4</v>
      </c>
      <c r="F4" s="26">
        <v>480</v>
      </c>
      <c r="G4" s="26">
        <v>354.84</v>
      </c>
      <c r="H4" s="26">
        <v>125.16</v>
      </c>
      <c r="I4" s="55">
        <v>0.26075</v>
      </c>
    </row>
    <row r="5" ht="15" customHeight="1">
      <c r="A5" t="s" s="46">
        <v>321</v>
      </c>
      <c r="B5" s="12">
        <v>11000</v>
      </c>
      <c r="C5" s="26">
        <v>88.70999999999999</v>
      </c>
      <c r="D5" t="s" s="46">
        <v>320</v>
      </c>
      <c r="E5" s="26">
        <v>1</v>
      </c>
      <c r="F5" s="26">
        <v>120</v>
      </c>
      <c r="G5" s="26">
        <v>88.70999999999999</v>
      </c>
      <c r="H5" s="26">
        <v>31.29</v>
      </c>
      <c r="I5" s="55">
        <v>0.26075</v>
      </c>
    </row>
    <row r="6" ht="15" customHeight="1">
      <c r="A6" t="s" s="46">
        <v>30</v>
      </c>
      <c r="B6" s="12">
        <v>4730</v>
      </c>
      <c r="C6" s="26">
        <v>38.15</v>
      </c>
      <c r="D6" t="s" s="46">
        <v>322</v>
      </c>
      <c r="E6" s="26">
        <v>8</v>
      </c>
      <c r="F6" s="26">
        <v>480</v>
      </c>
      <c r="G6" s="26">
        <v>305.2</v>
      </c>
      <c r="H6" s="26">
        <v>174.8</v>
      </c>
      <c r="I6" s="55">
        <v>0.364166666666667</v>
      </c>
    </row>
    <row r="7" ht="15" customHeight="1">
      <c r="A7" t="s" s="25">
        <v>253</v>
      </c>
      <c r="B7" s="13"/>
      <c r="C7" s="13"/>
      <c r="D7" s="13"/>
      <c r="E7" s="26">
        <v>13</v>
      </c>
      <c r="F7" s="26">
        <v>1080</v>
      </c>
      <c r="G7" s="26">
        <v>748.75</v>
      </c>
      <c r="H7" s="26">
        <v>331.25</v>
      </c>
      <c r="I7" s="55">
        <v>0.306712962962963</v>
      </c>
    </row>
    <row r="8" ht="13.5" customHeight="1">
      <c r="A8" s="6"/>
      <c r="B8" s="6"/>
      <c r="C8" s="6"/>
      <c r="D8" s="6"/>
      <c r="E8" s="6"/>
      <c r="F8" s="6"/>
      <c r="G8" s="6"/>
      <c r="H8" s="6"/>
      <c r="I8" s="6"/>
    </row>
    <row r="9" ht="13.5" customHeight="1">
      <c r="A9" s="6"/>
      <c r="B9" s="6"/>
      <c r="C9" s="6"/>
      <c r="D9" s="6"/>
      <c r="E9" s="6"/>
      <c r="F9" s="6"/>
      <c r="G9" s="6"/>
      <c r="H9" s="6"/>
      <c r="I9" s="6"/>
    </row>
    <row r="10" ht="13.5" customHeight="1">
      <c r="A10" s="6"/>
      <c r="B10" s="6"/>
      <c r="C10" s="6"/>
      <c r="D10" s="6"/>
      <c r="E10" s="6"/>
      <c r="F10" s="6"/>
      <c r="G10" s="6"/>
      <c r="H10" s="6"/>
      <c r="I10" s="6"/>
    </row>
  </sheetData>
  <mergeCells count="2">
    <mergeCell ref="A1:I1"/>
    <mergeCell ref="A2:I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8.66667" defaultRowHeight="15" customHeight="1" outlineLevelRow="0" outlineLevelCol="0"/>
  <cols>
    <col min="1" max="1" width="26" style="60" customWidth="1"/>
    <col min="2" max="2" width="16" style="60" customWidth="1"/>
    <col min="3" max="3" width="14" style="60" customWidth="1"/>
    <col min="4" max="4" width="16" style="60" customWidth="1"/>
    <col min="5" max="5" width="8" style="60" customWidth="1"/>
    <col min="6" max="6" width="12" style="60" customWidth="1"/>
    <col min="7" max="7" width="14" style="60" customWidth="1"/>
    <col min="8" max="8" width="12" style="60" customWidth="1"/>
    <col min="9" max="9" width="9" style="60" customWidth="1"/>
    <col min="10" max="16384" width="8.67188" style="60" customWidth="1"/>
  </cols>
  <sheetData>
    <row r="1" ht="24" customHeight="1">
      <c r="A1" t="s" s="58">
        <v>323</v>
      </c>
      <c r="B1" s="3"/>
      <c r="C1" s="4"/>
      <c r="D1" s="4"/>
      <c r="E1" s="4"/>
      <c r="F1" s="4"/>
      <c r="G1" s="4"/>
      <c r="H1" s="4"/>
      <c r="I1" s="5"/>
    </row>
    <row r="2" ht="13.5" customHeight="1">
      <c r="A2" t="s" s="45">
        <v>318</v>
      </c>
      <c r="B2" s="3"/>
      <c r="C2" s="4"/>
      <c r="D2" s="4"/>
      <c r="E2" s="4"/>
      <c r="F2" s="4"/>
      <c r="G2" s="4"/>
      <c r="H2" s="4"/>
      <c r="I2" s="5"/>
    </row>
    <row r="3" ht="30" customHeight="1">
      <c r="A3" t="s" s="8">
        <v>303</v>
      </c>
      <c r="B3" t="s" s="8">
        <v>304</v>
      </c>
      <c r="C3" t="s" s="8">
        <v>305</v>
      </c>
      <c r="D3" t="s" s="8">
        <v>306</v>
      </c>
      <c r="E3" t="s" s="8">
        <v>296</v>
      </c>
      <c r="F3" t="s" s="8">
        <v>243</v>
      </c>
      <c r="G3" t="s" s="8">
        <v>297</v>
      </c>
      <c r="H3" t="s" s="8">
        <v>298</v>
      </c>
      <c r="I3" t="s" s="8">
        <v>299</v>
      </c>
    </row>
    <row r="4" ht="15" customHeight="1">
      <c r="A4" t="s" s="46">
        <v>324</v>
      </c>
      <c r="B4" s="12">
        <v>3080</v>
      </c>
      <c r="C4" s="26">
        <v>24.84</v>
      </c>
      <c r="D4" t="s" s="46">
        <v>325</v>
      </c>
      <c r="E4" s="26">
        <v>6</v>
      </c>
      <c r="F4" s="26">
        <v>228</v>
      </c>
      <c r="G4" s="26">
        <v>149.04</v>
      </c>
      <c r="H4" s="26">
        <v>78.95999999999999</v>
      </c>
      <c r="I4" s="55">
        <v>0.346315789473684</v>
      </c>
    </row>
    <row r="5" ht="15" customHeight="1">
      <c r="A5" t="s" s="46">
        <v>326</v>
      </c>
      <c r="B5" s="12">
        <v>3080</v>
      </c>
      <c r="C5" s="26">
        <v>24.84</v>
      </c>
      <c r="D5" t="s" s="46">
        <v>325</v>
      </c>
      <c r="E5" s="26">
        <v>2</v>
      </c>
      <c r="F5" s="26">
        <v>76</v>
      </c>
      <c r="G5" s="26">
        <v>49.68</v>
      </c>
      <c r="H5" s="26">
        <v>26.32</v>
      </c>
      <c r="I5" s="55">
        <v>0.346315789473684</v>
      </c>
    </row>
    <row r="6" ht="15" customHeight="1">
      <c r="A6" t="s" s="25">
        <v>253</v>
      </c>
      <c r="B6" s="13"/>
      <c r="C6" s="13"/>
      <c r="D6" s="13"/>
      <c r="E6" s="26">
        <v>8</v>
      </c>
      <c r="F6" s="26">
        <v>304</v>
      </c>
      <c r="G6" s="26">
        <v>198.72</v>
      </c>
      <c r="H6" s="26">
        <v>105.28</v>
      </c>
      <c r="I6" s="55">
        <v>0.346315789473684</v>
      </c>
    </row>
    <row r="7" ht="13.5" customHeight="1">
      <c r="A7" s="6"/>
      <c r="B7" s="6"/>
      <c r="C7" s="6"/>
      <c r="D7" s="6"/>
      <c r="E7" s="6"/>
      <c r="F7" s="6"/>
      <c r="G7" s="6"/>
      <c r="H7" s="6"/>
      <c r="I7" s="6"/>
    </row>
    <row r="8" ht="13.5" customHeight="1">
      <c r="A8" s="6"/>
      <c r="B8" s="6"/>
      <c r="C8" s="6"/>
      <c r="D8" s="6"/>
      <c r="E8" s="6"/>
      <c r="F8" s="6"/>
      <c r="G8" s="6"/>
      <c r="H8" s="6"/>
      <c r="I8" s="6"/>
    </row>
    <row r="9" ht="13.5" customHeight="1">
      <c r="A9" s="6"/>
      <c r="B9" s="6"/>
      <c r="C9" s="6"/>
      <c r="D9" s="6"/>
      <c r="E9" s="6"/>
      <c r="F9" s="6"/>
      <c r="G9" s="6"/>
      <c r="H9" s="6"/>
      <c r="I9" s="6"/>
    </row>
    <row r="10" ht="13.5" customHeight="1">
      <c r="A10" s="6"/>
      <c r="B10" s="6"/>
      <c r="C10" s="6"/>
      <c r="D10" s="6"/>
      <c r="E10" s="6"/>
      <c r="F10" s="6"/>
      <c r="G10" s="6"/>
      <c r="H10" s="6"/>
      <c r="I10" s="6"/>
    </row>
  </sheetData>
  <mergeCells count="2">
    <mergeCell ref="A1:I1"/>
    <mergeCell ref="A2:I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8.66667" defaultRowHeight="15" customHeight="1" outlineLevelRow="0" outlineLevelCol="0"/>
  <cols>
    <col min="1" max="1" width="26" style="61" customWidth="1"/>
    <col min="2" max="2" width="16" style="61" customWidth="1"/>
    <col min="3" max="3" width="14" style="61" customWidth="1"/>
    <col min="4" max="4" width="16" style="61" customWidth="1"/>
    <col min="5" max="5" width="8" style="61" customWidth="1"/>
    <col min="6" max="6" width="12" style="61" customWidth="1"/>
    <col min="7" max="7" width="14" style="61" customWidth="1"/>
    <col min="8" max="8" width="12" style="61" customWidth="1"/>
    <col min="9" max="9" width="9" style="61" customWidth="1"/>
    <col min="10" max="16384" width="8.67188" style="61" customWidth="1"/>
  </cols>
  <sheetData>
    <row r="1" ht="24" customHeight="1">
      <c r="A1" t="s" s="58">
        <v>327</v>
      </c>
      <c r="B1" s="3"/>
      <c r="C1" s="4"/>
      <c r="D1" s="4"/>
      <c r="E1" s="4"/>
      <c r="F1" s="4"/>
      <c r="G1" s="4"/>
      <c r="H1" s="4"/>
      <c r="I1" s="5"/>
    </row>
    <row r="2" ht="13.5" customHeight="1">
      <c r="A2" t="s" s="45">
        <v>318</v>
      </c>
      <c r="B2" s="3"/>
      <c r="C2" s="4"/>
      <c r="D2" s="4"/>
      <c r="E2" s="4"/>
      <c r="F2" s="4"/>
      <c r="G2" s="4"/>
      <c r="H2" s="4"/>
      <c r="I2" s="5"/>
    </row>
    <row r="3" ht="30" customHeight="1">
      <c r="A3" t="s" s="8">
        <v>303</v>
      </c>
      <c r="B3" t="s" s="8">
        <v>304</v>
      </c>
      <c r="C3" t="s" s="8">
        <v>305</v>
      </c>
      <c r="D3" t="s" s="8">
        <v>306</v>
      </c>
      <c r="E3" t="s" s="8">
        <v>296</v>
      </c>
      <c r="F3" t="s" s="8">
        <v>243</v>
      </c>
      <c r="G3" t="s" s="8">
        <v>297</v>
      </c>
      <c r="H3" t="s" s="8">
        <v>298</v>
      </c>
      <c r="I3" t="s" s="8">
        <v>299</v>
      </c>
    </row>
    <row r="4" ht="15" customHeight="1">
      <c r="A4" t="s" s="46">
        <v>283</v>
      </c>
      <c r="B4" s="12">
        <v>3850</v>
      </c>
      <c r="C4" s="26">
        <v>31.05</v>
      </c>
      <c r="D4" t="s" s="46">
        <v>307</v>
      </c>
      <c r="E4" s="26">
        <v>3</v>
      </c>
      <c r="F4" s="26">
        <v>144</v>
      </c>
      <c r="G4" s="26">
        <v>93.15000000000001</v>
      </c>
      <c r="H4" s="26">
        <v>50.85</v>
      </c>
      <c r="I4" s="55">
        <v>0.353125</v>
      </c>
    </row>
    <row r="5" ht="15" customHeight="1">
      <c r="A5" t="s" s="25">
        <v>253</v>
      </c>
      <c r="B5" s="13"/>
      <c r="C5" s="13"/>
      <c r="D5" s="13"/>
      <c r="E5" s="26">
        <v>3</v>
      </c>
      <c r="F5" s="26">
        <v>144</v>
      </c>
      <c r="G5" s="26">
        <v>93.15000000000001</v>
      </c>
      <c r="H5" s="26">
        <v>50.85</v>
      </c>
      <c r="I5" s="55">
        <v>0.353125</v>
      </c>
    </row>
    <row r="6" ht="13.5" customHeight="1">
      <c r="A6" s="6"/>
      <c r="B6" s="6"/>
      <c r="C6" s="6"/>
      <c r="D6" s="6"/>
      <c r="E6" s="6"/>
      <c r="F6" s="6"/>
      <c r="G6" s="6"/>
      <c r="H6" s="6"/>
      <c r="I6" s="6"/>
    </row>
    <row r="7" ht="13.5" customHeight="1">
      <c r="A7" s="6"/>
      <c r="B7" s="6"/>
      <c r="C7" s="6"/>
      <c r="D7" s="6"/>
      <c r="E7" s="6"/>
      <c r="F7" s="6"/>
      <c r="G7" s="6"/>
      <c r="H7" s="6"/>
      <c r="I7" s="6"/>
    </row>
    <row r="8" ht="13.5" customHeight="1">
      <c r="A8" s="6"/>
      <c r="B8" s="6"/>
      <c r="C8" s="6"/>
      <c r="D8" s="6"/>
      <c r="E8" s="6"/>
      <c r="F8" s="6"/>
      <c r="G8" s="6"/>
      <c r="H8" s="6"/>
      <c r="I8" s="6"/>
    </row>
    <row r="9" ht="13.5" customHeight="1">
      <c r="A9" s="6"/>
      <c r="B9" s="6"/>
      <c r="C9" s="6"/>
      <c r="D9" s="6"/>
      <c r="E9" s="6"/>
      <c r="F9" s="6"/>
      <c r="G9" s="6"/>
      <c r="H9" s="6"/>
      <c r="I9" s="6"/>
    </row>
    <row r="10" ht="13.5" customHeight="1">
      <c r="A10" s="6"/>
      <c r="B10" s="6"/>
      <c r="C10" s="6"/>
      <c r="D10" s="6"/>
      <c r="E10" s="6"/>
      <c r="F10" s="6"/>
      <c r="G10" s="6"/>
      <c r="H10" s="6"/>
      <c r="I10" s="6"/>
    </row>
  </sheetData>
  <mergeCells count="2">
    <mergeCell ref="A1:I1"/>
    <mergeCell ref="A2:I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8.66667" defaultRowHeight="15" customHeight="1" outlineLevelRow="0" outlineLevelCol="0"/>
  <cols>
    <col min="1" max="1" width="26" style="62" customWidth="1"/>
    <col min="2" max="2" width="16" style="62" customWidth="1"/>
    <col min="3" max="3" width="14" style="62" customWidth="1"/>
    <col min="4" max="4" width="16" style="62" customWidth="1"/>
    <col min="5" max="5" width="8" style="62" customWidth="1"/>
    <col min="6" max="6" width="12" style="62" customWidth="1"/>
    <col min="7" max="7" width="14" style="62" customWidth="1"/>
    <col min="8" max="8" width="12" style="62" customWidth="1"/>
    <col min="9" max="9" width="9" style="62" customWidth="1"/>
    <col min="10" max="16384" width="8.67188" style="62" customWidth="1"/>
  </cols>
  <sheetData>
    <row r="1" ht="24" customHeight="1">
      <c r="A1" t="s" s="58">
        <v>328</v>
      </c>
      <c r="B1" s="3"/>
      <c r="C1" s="4"/>
      <c r="D1" s="4"/>
      <c r="E1" s="4"/>
      <c r="F1" s="4"/>
      <c r="G1" s="4"/>
      <c r="H1" s="4"/>
      <c r="I1" s="5"/>
    </row>
    <row r="2" ht="13.5" customHeight="1">
      <c r="A2" t="s" s="45">
        <v>329</v>
      </c>
      <c r="B2" s="3"/>
      <c r="C2" s="4"/>
      <c r="D2" s="4"/>
      <c r="E2" s="4"/>
      <c r="F2" s="4"/>
      <c r="G2" s="4"/>
      <c r="H2" s="4"/>
      <c r="I2" s="5"/>
    </row>
    <row r="3" ht="30" customHeight="1">
      <c r="A3" t="s" s="8">
        <v>303</v>
      </c>
      <c r="B3" t="s" s="8">
        <v>304</v>
      </c>
      <c r="C3" t="s" s="8">
        <v>305</v>
      </c>
      <c r="D3" t="s" s="8">
        <v>306</v>
      </c>
      <c r="E3" t="s" s="8">
        <v>296</v>
      </c>
      <c r="F3" t="s" s="8">
        <v>243</v>
      </c>
      <c r="G3" t="s" s="8">
        <v>297</v>
      </c>
      <c r="H3" t="s" s="8">
        <v>298</v>
      </c>
      <c r="I3" t="s" s="8">
        <v>299</v>
      </c>
    </row>
    <row r="4" ht="15" customHeight="1">
      <c r="A4" t="s" s="46">
        <v>330</v>
      </c>
      <c r="B4" s="12">
        <v>4400</v>
      </c>
      <c r="C4" s="26">
        <v>35.48</v>
      </c>
      <c r="D4" t="s" s="46">
        <v>331</v>
      </c>
      <c r="E4" s="26">
        <v>5</v>
      </c>
      <c r="F4" s="26">
        <v>260</v>
      </c>
      <c r="G4" s="26">
        <v>177.4</v>
      </c>
      <c r="H4" s="26">
        <v>82.59999999999999</v>
      </c>
      <c r="I4" s="55">
        <v>0.317692307692308</v>
      </c>
    </row>
    <row r="5" ht="15" customHeight="1">
      <c r="A5" t="s" s="46">
        <v>332</v>
      </c>
      <c r="B5" s="12">
        <v>4400</v>
      </c>
      <c r="C5" s="26">
        <v>35.48</v>
      </c>
      <c r="D5" t="s" s="46">
        <v>331</v>
      </c>
      <c r="E5" s="26">
        <v>2</v>
      </c>
      <c r="F5" s="26">
        <v>104</v>
      </c>
      <c r="G5" s="26">
        <v>70.95999999999999</v>
      </c>
      <c r="H5" s="26">
        <v>33.04</v>
      </c>
      <c r="I5" s="55">
        <v>0.317692307692308</v>
      </c>
    </row>
    <row r="6" ht="15" customHeight="1">
      <c r="A6" t="s" s="46">
        <v>284</v>
      </c>
      <c r="B6" s="12">
        <v>5500</v>
      </c>
      <c r="C6" s="26">
        <v>44.35</v>
      </c>
      <c r="D6" t="s" s="46">
        <v>322</v>
      </c>
      <c r="E6" s="26">
        <v>1</v>
      </c>
      <c r="F6" s="26">
        <v>60</v>
      </c>
      <c r="G6" s="26">
        <v>44.35</v>
      </c>
      <c r="H6" s="26">
        <v>15.65</v>
      </c>
      <c r="I6" s="55">
        <v>0.260833333333333</v>
      </c>
    </row>
    <row r="7" ht="15" customHeight="1">
      <c r="A7" t="s" s="46">
        <v>291</v>
      </c>
      <c r="B7" s="12">
        <v>2860</v>
      </c>
      <c r="C7" s="26">
        <v>23.06</v>
      </c>
      <c r="D7" t="s" s="46">
        <v>333</v>
      </c>
      <c r="E7" s="26">
        <v>2</v>
      </c>
      <c r="F7" s="26">
        <v>66</v>
      </c>
      <c r="G7" s="26">
        <v>46.12</v>
      </c>
      <c r="H7" s="26">
        <v>19.88</v>
      </c>
      <c r="I7" s="55">
        <v>0.301212121212121</v>
      </c>
    </row>
    <row r="8" ht="15" customHeight="1">
      <c r="A8" t="s" s="46">
        <v>292</v>
      </c>
      <c r="B8" s="12">
        <v>2200</v>
      </c>
      <c r="C8" s="26">
        <v>17.74</v>
      </c>
      <c r="D8" t="s" s="46">
        <v>334</v>
      </c>
      <c r="E8" s="26">
        <v>3</v>
      </c>
      <c r="F8" s="26">
        <v>78</v>
      </c>
      <c r="G8" s="26">
        <v>53.22</v>
      </c>
      <c r="H8" s="26">
        <v>24.78</v>
      </c>
      <c r="I8" s="55">
        <v>0.317692307692308</v>
      </c>
    </row>
    <row r="9" ht="15" customHeight="1">
      <c r="A9" t="s" s="46">
        <v>293</v>
      </c>
      <c r="B9" s="12">
        <v>660</v>
      </c>
      <c r="C9" s="26">
        <v>5.32</v>
      </c>
      <c r="D9" t="s" s="46">
        <v>335</v>
      </c>
      <c r="E9" s="26">
        <v>3</v>
      </c>
      <c r="F9" s="26">
        <v>24</v>
      </c>
      <c r="G9" s="26">
        <v>15.96</v>
      </c>
      <c r="H9" s="26">
        <v>8.039999999999999</v>
      </c>
      <c r="I9" s="55">
        <v>0.335</v>
      </c>
    </row>
    <row r="10" ht="15" customHeight="1">
      <c r="A10" t="s" s="25">
        <v>253</v>
      </c>
      <c r="B10" s="13"/>
      <c r="C10" s="13"/>
      <c r="D10" s="13"/>
      <c r="E10" s="26">
        <v>16</v>
      </c>
      <c r="F10" s="26">
        <v>592</v>
      </c>
      <c r="G10" s="26">
        <v>408.01</v>
      </c>
      <c r="H10" s="26">
        <v>183.99</v>
      </c>
      <c r="I10" s="55">
        <v>0.310793918918919</v>
      </c>
    </row>
  </sheetData>
  <mergeCells count="2">
    <mergeCell ref="A1:I1"/>
    <mergeCell ref="A2:I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8.66667" defaultRowHeight="15" customHeight="1" outlineLevelRow="0" outlineLevelCol="0"/>
  <cols>
    <col min="1" max="1" width="26" style="63" customWidth="1"/>
    <col min="2" max="2" width="16" style="63" customWidth="1"/>
    <col min="3" max="3" width="14" style="63" customWidth="1"/>
    <col min="4" max="4" width="16" style="63" customWidth="1"/>
    <col min="5" max="5" width="8" style="63" customWidth="1"/>
    <col min="6" max="6" width="12" style="63" customWidth="1"/>
    <col min="7" max="7" width="14" style="63" customWidth="1"/>
    <col min="8" max="8" width="12" style="63" customWidth="1"/>
    <col min="9" max="9" width="9" style="63" customWidth="1"/>
    <col min="10" max="16384" width="8.67188" style="63" customWidth="1"/>
  </cols>
  <sheetData>
    <row r="1" ht="24" customHeight="1">
      <c r="A1" t="s" s="58">
        <v>336</v>
      </c>
      <c r="B1" s="3"/>
      <c r="C1" s="4"/>
      <c r="D1" s="4"/>
      <c r="E1" s="4"/>
      <c r="F1" s="4"/>
      <c r="G1" s="4"/>
      <c r="H1" s="4"/>
      <c r="I1" s="5"/>
    </row>
    <row r="2" ht="13.5" customHeight="1">
      <c r="A2" t="s" s="45">
        <v>318</v>
      </c>
      <c r="B2" s="3"/>
      <c r="C2" s="4"/>
      <c r="D2" s="4"/>
      <c r="E2" s="4"/>
      <c r="F2" s="4"/>
      <c r="G2" s="4"/>
      <c r="H2" s="4"/>
      <c r="I2" s="5"/>
    </row>
    <row r="3" ht="30" customHeight="1">
      <c r="A3" t="s" s="8">
        <v>303</v>
      </c>
      <c r="B3" t="s" s="8">
        <v>304</v>
      </c>
      <c r="C3" t="s" s="8">
        <v>305</v>
      </c>
      <c r="D3" t="s" s="8">
        <v>306</v>
      </c>
      <c r="E3" t="s" s="8">
        <v>296</v>
      </c>
      <c r="F3" t="s" s="8">
        <v>243</v>
      </c>
      <c r="G3" t="s" s="8">
        <v>297</v>
      </c>
      <c r="H3" t="s" s="8">
        <v>298</v>
      </c>
      <c r="I3" t="s" s="8">
        <v>299</v>
      </c>
    </row>
    <row r="4" ht="15" customHeight="1">
      <c r="A4" t="s" s="46">
        <v>290</v>
      </c>
      <c r="B4" s="12">
        <v>3300</v>
      </c>
      <c r="C4" s="26">
        <v>26.61</v>
      </c>
      <c r="D4" t="s" s="46">
        <v>337</v>
      </c>
      <c r="E4" s="26">
        <v>1</v>
      </c>
      <c r="F4" s="26">
        <v>40</v>
      </c>
      <c r="G4" s="26">
        <v>26.61</v>
      </c>
      <c r="H4" s="26">
        <v>13.39</v>
      </c>
      <c r="I4" s="55">
        <v>0.33475</v>
      </c>
    </row>
    <row r="5" ht="15" customHeight="1">
      <c r="A5" t="s" s="25">
        <v>253</v>
      </c>
      <c r="B5" s="13"/>
      <c r="C5" s="13"/>
      <c r="D5" s="13"/>
      <c r="E5" s="26">
        <v>1</v>
      </c>
      <c r="F5" s="26">
        <v>40</v>
      </c>
      <c r="G5" s="26">
        <v>26.61</v>
      </c>
      <c r="H5" s="26">
        <v>13.39</v>
      </c>
      <c r="I5" s="55">
        <v>0.33475</v>
      </c>
    </row>
    <row r="6" ht="13.5" customHeight="1">
      <c r="A6" s="6"/>
      <c r="B6" s="6"/>
      <c r="C6" s="6"/>
      <c r="D6" s="6"/>
      <c r="E6" s="6"/>
      <c r="F6" s="6"/>
      <c r="G6" s="6"/>
      <c r="H6" s="6"/>
      <c r="I6" s="6"/>
    </row>
    <row r="7" ht="13.5" customHeight="1">
      <c r="A7" s="6"/>
      <c r="B7" s="6"/>
      <c r="C7" s="6"/>
      <c r="D7" s="6"/>
      <c r="E7" s="6"/>
      <c r="F7" s="6"/>
      <c r="G7" s="6"/>
      <c r="H7" s="6"/>
      <c r="I7" s="6"/>
    </row>
    <row r="8" ht="13.5" customHeight="1">
      <c r="A8" s="6"/>
      <c r="B8" s="6"/>
      <c r="C8" s="6"/>
      <c r="D8" s="6"/>
      <c r="E8" s="6"/>
      <c r="F8" s="6"/>
      <c r="G8" s="6"/>
      <c r="H8" s="6"/>
      <c r="I8" s="6"/>
    </row>
    <row r="9" ht="13.5" customHeight="1">
      <c r="A9" s="6"/>
      <c r="B9" s="6"/>
      <c r="C9" s="6"/>
      <c r="D9" s="6"/>
      <c r="E9" s="6"/>
      <c r="F9" s="6"/>
      <c r="G9" s="6"/>
      <c r="H9" s="6"/>
      <c r="I9" s="6"/>
    </row>
    <row r="10" ht="13.5" customHeight="1">
      <c r="A10" s="6"/>
      <c r="B10" s="6"/>
      <c r="C10" s="6"/>
      <c r="D10" s="6"/>
      <c r="E10" s="6"/>
      <c r="F10" s="6"/>
      <c r="G10" s="6"/>
      <c r="H10" s="6"/>
      <c r="I10" s="6"/>
    </row>
  </sheetData>
  <mergeCells count="2">
    <mergeCell ref="A1:I1"/>
    <mergeCell ref="A2:I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G13"/>
  <sheetViews>
    <sheetView workbookViewId="0" showGridLines="0" defaultGridColor="1"/>
  </sheetViews>
  <sheetFormatPr defaultColWidth="8.66667" defaultRowHeight="15" customHeight="1" outlineLevelRow="0" outlineLevelCol="0"/>
  <cols>
    <col min="1" max="1" width="42" style="64" customWidth="1"/>
    <col min="2" max="2" width="15" style="64" customWidth="1"/>
    <col min="3" max="3" width="14" style="64" customWidth="1"/>
    <col min="4" max="4" width="8" style="64" customWidth="1"/>
    <col min="5" max="5" width="16" style="64" customWidth="1"/>
    <col min="6" max="6" width="18" style="64" customWidth="1"/>
    <col min="7" max="7" width="8.67188" style="64" customWidth="1"/>
    <col min="8" max="16384" width="8.67188" style="64" customWidth="1"/>
  </cols>
  <sheetData>
    <row r="1" ht="24" customHeight="1">
      <c r="A1" t="s" s="58">
        <v>338</v>
      </c>
      <c r="B1" s="3"/>
      <c r="C1" s="4"/>
      <c r="D1" s="4"/>
      <c r="E1" s="4"/>
      <c r="F1" s="4"/>
      <c r="G1" s="5"/>
    </row>
    <row r="2" ht="13.5" customHeight="1">
      <c r="A2" t="s" s="45">
        <v>339</v>
      </c>
      <c r="B2" s="3"/>
      <c r="C2" s="4"/>
      <c r="D2" s="4"/>
      <c r="E2" s="4"/>
      <c r="F2" s="4"/>
      <c r="G2" s="5"/>
    </row>
    <row r="3" ht="30" customHeight="1">
      <c r="A3" t="s" s="8">
        <v>303</v>
      </c>
      <c r="B3" t="s" s="8">
        <v>304</v>
      </c>
      <c r="C3" t="s" s="8">
        <v>305</v>
      </c>
      <c r="D3" t="s" s="8">
        <v>296</v>
      </c>
      <c r="E3" t="s" s="8">
        <v>340</v>
      </c>
      <c r="F3" t="s" s="8">
        <v>203</v>
      </c>
      <c r="G3" s="6"/>
    </row>
    <row r="4" ht="15" customHeight="1">
      <c r="A4" t="s" s="25">
        <v>341</v>
      </c>
      <c r="B4" s="12">
        <v>41800</v>
      </c>
      <c r="C4" s="26">
        <v>269.68</v>
      </c>
      <c r="D4" s="12">
        <v>1</v>
      </c>
      <c r="E4" s="26">
        <v>269.68</v>
      </c>
      <c r="F4" s="65"/>
      <c r="G4" s="6"/>
    </row>
    <row r="5" ht="15" customHeight="1">
      <c r="A5" t="s" s="25">
        <v>342</v>
      </c>
      <c r="B5" s="12">
        <v>110000</v>
      </c>
      <c r="C5" s="26">
        <v>709.6799999999999</v>
      </c>
      <c r="D5" s="12">
        <v>1</v>
      </c>
      <c r="E5" s="26">
        <v>709.6799999999999</v>
      </c>
      <c r="F5" s="65"/>
      <c r="G5" s="6"/>
    </row>
    <row r="6" ht="15" customHeight="1">
      <c r="A6" t="s" s="25">
        <v>343</v>
      </c>
      <c r="B6" s="12">
        <v>12100</v>
      </c>
      <c r="C6" s="26">
        <v>78.06</v>
      </c>
      <c r="D6" s="12">
        <v>1</v>
      </c>
      <c r="E6" s="26">
        <v>78.06</v>
      </c>
      <c r="F6" s="65"/>
      <c r="G6" s="6"/>
    </row>
    <row r="7" ht="15" customHeight="1">
      <c r="A7" t="s" s="25">
        <v>344</v>
      </c>
      <c r="B7" s="12">
        <v>17600</v>
      </c>
      <c r="C7" s="26">
        <v>113.55</v>
      </c>
      <c r="D7" s="12">
        <v>1</v>
      </c>
      <c r="E7" s="26">
        <v>113.55</v>
      </c>
      <c r="F7" s="65"/>
      <c r="G7" s="6"/>
    </row>
    <row r="8" ht="15" customHeight="1">
      <c r="A8" t="s" s="25">
        <v>345</v>
      </c>
      <c r="B8" s="13"/>
      <c r="C8" s="13"/>
      <c r="D8" s="12">
        <v>4</v>
      </c>
      <c r="E8" s="26">
        <v>1170.97</v>
      </c>
      <c r="F8" s="13"/>
      <c r="G8" s="6"/>
    </row>
    <row r="9" ht="13.5" customHeight="1">
      <c r="A9" s="6"/>
      <c r="B9" s="6"/>
      <c r="C9" s="6"/>
      <c r="D9" s="6"/>
      <c r="E9" s="6"/>
      <c r="F9" s="6"/>
      <c r="G9" s="6"/>
    </row>
    <row r="10" ht="15" customHeight="1">
      <c r="A10" t="s" s="18">
        <v>346</v>
      </c>
      <c r="B10" s="6"/>
      <c r="C10" s="49">
        <v>1300</v>
      </c>
      <c r="D10" s="6"/>
      <c r="E10" s="6"/>
      <c r="F10" s="6"/>
      <c r="G10" s="6"/>
    </row>
    <row r="11" ht="15" customHeight="1">
      <c r="A11" t="s" s="18">
        <v>340</v>
      </c>
      <c r="B11" s="6"/>
      <c r="C11" s="49">
        <v>1170.97</v>
      </c>
      <c r="D11" s="6"/>
      <c r="E11" s="6"/>
      <c r="F11" s="6"/>
      <c r="G11" s="6"/>
    </row>
    <row r="12" ht="15" customHeight="1">
      <c r="A12" t="s" s="18">
        <v>298</v>
      </c>
      <c r="B12" s="6"/>
      <c r="C12" s="49">
        <v>129.03</v>
      </c>
      <c r="D12" s="6"/>
      <c r="E12" s="6"/>
      <c r="F12" s="6"/>
      <c r="G12" s="6"/>
    </row>
    <row r="13" ht="15" customHeight="1">
      <c r="A13" t="s" s="18">
        <v>299</v>
      </c>
      <c r="B13" s="6"/>
      <c r="C13" s="56">
        <v>0.09925384615384621</v>
      </c>
      <c r="D13" s="6"/>
      <c r="E13" s="6"/>
      <c r="F13" s="6"/>
      <c r="G13" s="6"/>
    </row>
  </sheetData>
  <mergeCells count="2">
    <mergeCell ref="A2:G2"/>
    <mergeCell ref="A1:G1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J21"/>
  <sheetViews>
    <sheetView workbookViewId="0" showGridLines="0" defaultGridColor="1"/>
  </sheetViews>
  <sheetFormatPr defaultColWidth="8.66667" defaultRowHeight="15" customHeight="1" outlineLevelRow="0" outlineLevelCol="0"/>
  <cols>
    <col min="1" max="1" width="32" style="66" customWidth="1"/>
    <col min="2" max="2" width="15" style="66" customWidth="1"/>
    <col min="3" max="3" width="16" style="66" customWidth="1"/>
    <col min="4" max="4" width="10" style="66" customWidth="1"/>
    <col min="5" max="5" width="16" style="66" customWidth="1"/>
    <col min="6" max="6" width="10" style="66" customWidth="1"/>
    <col min="7" max="7" width="9" style="66" customWidth="1"/>
    <col min="8" max="8" width="15" style="66" customWidth="1"/>
    <col min="9" max="9" width="14" style="66" customWidth="1"/>
    <col min="10" max="10" width="10" style="66" customWidth="1"/>
    <col min="11" max="16384" width="8.67188" style="66" customWidth="1"/>
  </cols>
  <sheetData>
    <row r="1" ht="24" customHeight="1">
      <c r="A1" t="s" s="58">
        <v>347</v>
      </c>
      <c r="B1" s="3"/>
      <c r="C1" s="4"/>
      <c r="D1" s="4"/>
      <c r="E1" s="4"/>
      <c r="F1" s="4"/>
      <c r="G1" s="4"/>
      <c r="H1" s="4"/>
      <c r="I1" s="4"/>
      <c r="J1" s="5"/>
    </row>
    <row r="2" ht="13.5" customHeight="1">
      <c r="A2" t="s" s="45">
        <v>348</v>
      </c>
      <c r="B2" s="3"/>
      <c r="C2" s="4"/>
      <c r="D2" s="4"/>
      <c r="E2" s="4"/>
      <c r="F2" s="4"/>
      <c r="G2" s="4"/>
      <c r="H2" s="4"/>
      <c r="I2" s="4"/>
      <c r="J2" s="5"/>
    </row>
    <row r="3" ht="33.75" customHeight="1">
      <c r="A3" t="s" s="8">
        <v>303</v>
      </c>
      <c r="B3" t="s" s="8">
        <v>304</v>
      </c>
      <c r="C3" t="s" s="8">
        <v>349</v>
      </c>
      <c r="D3" t="s" s="8">
        <v>239</v>
      </c>
      <c r="E3" t="s" s="8">
        <v>340</v>
      </c>
      <c r="F3" t="s" s="8">
        <v>240</v>
      </c>
      <c r="G3" t="s" s="8">
        <v>241</v>
      </c>
      <c r="H3" t="s" s="8">
        <v>350</v>
      </c>
      <c r="I3" t="s" s="8">
        <v>244</v>
      </c>
      <c r="J3" t="s" s="8">
        <v>351</v>
      </c>
    </row>
    <row r="4" ht="15" customHeight="1">
      <c r="A4" t="s" s="46">
        <v>315</v>
      </c>
      <c r="B4" s="12">
        <v>13200</v>
      </c>
      <c r="C4" s="26">
        <v>89.01000000000001</v>
      </c>
      <c r="D4" s="12">
        <v>12</v>
      </c>
      <c r="E4" s="26">
        <v>1068.12</v>
      </c>
      <c r="F4" s="12">
        <v>3</v>
      </c>
      <c r="G4" s="12">
        <v>9</v>
      </c>
      <c r="H4" s="26">
        <v>248</v>
      </c>
      <c r="I4" s="26">
        <v>69.98</v>
      </c>
      <c r="J4" s="55">
        <v>0.282177419354839</v>
      </c>
    </row>
    <row r="5" ht="15" customHeight="1">
      <c r="A5" t="s" s="46">
        <v>281</v>
      </c>
      <c r="B5" s="12">
        <v>4400</v>
      </c>
      <c r="C5" s="26">
        <v>29.67</v>
      </c>
      <c r="D5" s="12">
        <v>50</v>
      </c>
      <c r="E5" s="26">
        <v>1483.5</v>
      </c>
      <c r="F5" s="12">
        <v>24</v>
      </c>
      <c r="G5" s="12">
        <v>26</v>
      </c>
      <c r="H5" s="26">
        <v>1056</v>
      </c>
      <c r="I5" s="26">
        <v>403.26</v>
      </c>
      <c r="J5" s="55">
        <v>0.381875</v>
      </c>
    </row>
    <row r="6" ht="15" customHeight="1">
      <c r="A6" t="s" s="46">
        <v>352</v>
      </c>
      <c r="B6" s="12">
        <v>4070</v>
      </c>
      <c r="C6" s="26">
        <v>27.45</v>
      </c>
      <c r="D6" s="12">
        <v>6</v>
      </c>
      <c r="E6" s="26">
        <v>164.7</v>
      </c>
      <c r="F6" s="12">
        <v>3</v>
      </c>
      <c r="G6" s="12">
        <v>3</v>
      </c>
      <c r="H6" s="26">
        <v>132</v>
      </c>
      <c r="I6" s="26">
        <v>49.65</v>
      </c>
      <c r="J6" s="55">
        <v>0.376136363636364</v>
      </c>
    </row>
    <row r="7" ht="15" customHeight="1">
      <c r="A7" t="s" s="46">
        <v>266</v>
      </c>
      <c r="B7" s="12">
        <v>6050</v>
      </c>
      <c r="C7" s="26">
        <v>40.8</v>
      </c>
      <c r="D7" s="12">
        <v>24</v>
      </c>
      <c r="E7" s="26">
        <v>979.2</v>
      </c>
      <c r="F7" s="12">
        <v>7</v>
      </c>
      <c r="G7" s="12">
        <v>17</v>
      </c>
      <c r="H7" s="26">
        <v>432</v>
      </c>
      <c r="I7" s="26">
        <v>146.4</v>
      </c>
      <c r="J7" s="55">
        <v>0.338888888888889</v>
      </c>
    </row>
    <row r="8" ht="15" customHeight="1">
      <c r="A8" t="s" s="46">
        <v>353</v>
      </c>
      <c r="B8" s="12">
        <v>6380</v>
      </c>
      <c r="C8" s="26">
        <v>43.02</v>
      </c>
      <c r="D8" s="12">
        <v>9</v>
      </c>
      <c r="E8" s="26">
        <v>387.18</v>
      </c>
      <c r="F8" s="12">
        <v>6</v>
      </c>
      <c r="G8" s="12">
        <v>3</v>
      </c>
      <c r="H8" s="26">
        <v>382</v>
      </c>
      <c r="I8" s="26">
        <v>123.88</v>
      </c>
      <c r="J8" s="55">
        <v>0.324293193717278</v>
      </c>
    </row>
    <row r="9" ht="15" customHeight="1">
      <c r="A9" t="s" s="46">
        <v>354</v>
      </c>
      <c r="B9" s="12">
        <v>7150</v>
      </c>
      <c r="C9" s="26">
        <v>48.22</v>
      </c>
      <c r="D9" s="12">
        <v>9</v>
      </c>
      <c r="E9" s="26">
        <v>433.98</v>
      </c>
      <c r="F9" s="12">
        <v>5</v>
      </c>
      <c r="G9" s="12">
        <v>4</v>
      </c>
      <c r="H9" s="26">
        <v>366</v>
      </c>
      <c r="I9" s="26">
        <v>124.9</v>
      </c>
      <c r="J9" s="55">
        <v>0.341256830601093</v>
      </c>
    </row>
    <row r="10" ht="15" customHeight="1">
      <c r="A10" t="s" s="46">
        <v>355</v>
      </c>
      <c r="B10" s="12">
        <v>16500</v>
      </c>
      <c r="C10" s="26">
        <v>111.27</v>
      </c>
      <c r="D10" s="12">
        <v>6</v>
      </c>
      <c r="E10" s="26">
        <v>667.62</v>
      </c>
      <c r="F10" s="12">
        <v>2</v>
      </c>
      <c r="G10" s="12">
        <v>4</v>
      </c>
      <c r="H10" s="26">
        <v>328</v>
      </c>
      <c r="I10" s="26">
        <v>105.46</v>
      </c>
      <c r="J10" s="55">
        <v>0.321524390243902</v>
      </c>
    </row>
    <row r="11" ht="15" customHeight="1">
      <c r="A11" t="s" s="46">
        <v>313</v>
      </c>
      <c r="B11" s="12">
        <v>770</v>
      </c>
      <c r="C11" s="26">
        <v>5.19</v>
      </c>
      <c r="D11" s="12">
        <v>5</v>
      </c>
      <c r="E11" s="26">
        <v>25.95</v>
      </c>
      <c r="F11" s="12">
        <v>4</v>
      </c>
      <c r="G11" s="12">
        <v>1</v>
      </c>
      <c r="H11" s="26">
        <v>28</v>
      </c>
      <c r="I11" s="26">
        <v>17.62</v>
      </c>
      <c r="J11" s="55">
        <v>0.629285714285714</v>
      </c>
    </row>
    <row r="12" ht="15" customHeight="1">
      <c r="A12" t="s" s="46">
        <v>356</v>
      </c>
      <c r="B12" s="12">
        <v>770</v>
      </c>
      <c r="C12" s="26">
        <v>5.19</v>
      </c>
      <c r="D12" s="12">
        <v>5</v>
      </c>
      <c r="E12" s="26">
        <v>25.95</v>
      </c>
      <c r="F12" s="12">
        <v>0</v>
      </c>
      <c r="G12" s="12">
        <v>5</v>
      </c>
      <c r="H12" s="26">
        <v>0</v>
      </c>
      <c r="I12" s="26">
        <v>0</v>
      </c>
      <c r="J12" s="55">
        <v>0</v>
      </c>
    </row>
    <row r="13" ht="15" customHeight="1">
      <c r="A13" t="s" s="46">
        <v>357</v>
      </c>
      <c r="B13" s="12">
        <v>770</v>
      </c>
      <c r="C13" s="26">
        <v>5.19</v>
      </c>
      <c r="D13" s="12">
        <v>5</v>
      </c>
      <c r="E13" s="26">
        <v>25.95</v>
      </c>
      <c r="F13" s="12">
        <v>1</v>
      </c>
      <c r="G13" s="12">
        <v>4</v>
      </c>
      <c r="H13" s="26">
        <v>14</v>
      </c>
      <c r="I13" s="26">
        <v>8.81</v>
      </c>
      <c r="J13" s="55">
        <v>0.629285714285714</v>
      </c>
    </row>
    <row r="14" ht="15" customHeight="1">
      <c r="A14" t="s" s="46">
        <v>358</v>
      </c>
      <c r="B14" s="12">
        <v>3300</v>
      </c>
      <c r="C14" s="26">
        <v>26.61</v>
      </c>
      <c r="D14" s="12">
        <v>3</v>
      </c>
      <c r="E14" s="26">
        <v>79.83</v>
      </c>
      <c r="F14" s="12">
        <v>1</v>
      </c>
      <c r="G14" s="12">
        <v>2</v>
      </c>
      <c r="H14" s="26">
        <v>36</v>
      </c>
      <c r="I14" s="26">
        <v>9.390000000000001</v>
      </c>
      <c r="J14" s="55">
        <v>0.260833333333333</v>
      </c>
    </row>
    <row r="15" ht="15" customHeight="1">
      <c r="A15" t="s" s="25">
        <v>253</v>
      </c>
      <c r="B15" s="67"/>
      <c r="C15" s="26"/>
      <c r="D15" s="12">
        <v>134</v>
      </c>
      <c r="E15" s="26">
        <v>5341.98</v>
      </c>
      <c r="F15" s="12">
        <v>56</v>
      </c>
      <c r="G15" s="12">
        <v>78</v>
      </c>
      <c r="H15" s="26">
        <v>3022</v>
      </c>
      <c r="I15" s="26">
        <v>1059.35</v>
      </c>
      <c r="J15" s="55">
        <v>0.35054599602912</v>
      </c>
    </row>
    <row r="16" ht="15" customHeight="1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ht="15" customHeight="1">
      <c r="A17" t="s" s="18">
        <v>359</v>
      </c>
      <c r="B17" s="6"/>
      <c r="C17" s="6"/>
      <c r="D17" s="6"/>
      <c r="E17" s="68">
        <v>5341.98</v>
      </c>
      <c r="F17" s="6"/>
      <c r="G17" s="6"/>
      <c r="H17" s="6"/>
      <c r="I17" s="6"/>
      <c r="J17" s="6"/>
    </row>
    <row r="18" ht="15" customHeight="1">
      <c r="A18" t="s" s="45">
        <v>360</v>
      </c>
      <c r="B18" s="6"/>
      <c r="C18" s="6"/>
      <c r="D18" s="6"/>
      <c r="E18" s="68">
        <v>4058.05</v>
      </c>
      <c r="F18" s="6"/>
      <c r="G18" s="6"/>
      <c r="H18" s="6"/>
      <c r="I18" s="6"/>
      <c r="J18" s="6"/>
    </row>
    <row r="19" ht="15" customHeight="1">
      <c r="A19" t="s" s="45">
        <v>361</v>
      </c>
      <c r="B19" s="6"/>
      <c r="C19" s="6"/>
      <c r="D19" s="6"/>
      <c r="E19" s="6"/>
      <c r="F19" s="6"/>
      <c r="G19" s="6"/>
      <c r="H19" s="6"/>
      <c r="I19" s="6"/>
      <c r="J19" s="6"/>
    </row>
    <row r="20" ht="13.5" customHeight="1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ht="15" customHeight="1">
      <c r="A21" t="s" s="45">
        <v>362</v>
      </c>
      <c r="B21" s="6"/>
      <c r="C21" s="6"/>
      <c r="D21" s="6"/>
      <c r="E21" s="6"/>
      <c r="F21" s="6"/>
      <c r="G21" s="6"/>
      <c r="H21" s="6"/>
      <c r="I21" s="6"/>
      <c r="J21" s="6"/>
    </row>
  </sheetData>
  <mergeCells count="2">
    <mergeCell ref="A1:J1"/>
    <mergeCell ref="A2:J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J11"/>
  <sheetViews>
    <sheetView workbookViewId="0" showGridLines="0" defaultGridColor="1"/>
  </sheetViews>
  <sheetFormatPr defaultColWidth="8.66667" defaultRowHeight="15" customHeight="1" outlineLevelRow="0" outlineLevelCol="0"/>
  <cols>
    <col min="1" max="1" width="32" style="69" customWidth="1"/>
    <col min="2" max="2" width="15" style="69" customWidth="1"/>
    <col min="3" max="3" width="16" style="69" customWidth="1"/>
    <col min="4" max="4" width="10" style="69" customWidth="1"/>
    <col min="5" max="5" width="16" style="69" customWidth="1"/>
    <col min="6" max="6" width="10" style="69" customWidth="1"/>
    <col min="7" max="7" width="9" style="69" customWidth="1"/>
    <col min="8" max="8" width="15" style="69" customWidth="1"/>
    <col min="9" max="9" width="14" style="69" customWidth="1"/>
    <col min="10" max="10" width="10" style="69" customWidth="1"/>
    <col min="11" max="16384" width="8.67188" style="69" customWidth="1"/>
  </cols>
  <sheetData>
    <row r="1" ht="24" customHeight="1">
      <c r="A1" t="s" s="58">
        <v>363</v>
      </c>
      <c r="B1" s="3"/>
      <c r="C1" s="4"/>
      <c r="D1" s="4"/>
      <c r="E1" s="4"/>
      <c r="F1" s="4"/>
      <c r="G1" s="4"/>
      <c r="H1" s="4"/>
      <c r="I1" s="4"/>
      <c r="J1" s="5"/>
    </row>
    <row r="2" ht="13.5" customHeight="1">
      <c r="A2" t="s" s="45">
        <v>364</v>
      </c>
      <c r="B2" s="3"/>
      <c r="C2" s="4"/>
      <c r="D2" s="4"/>
      <c r="E2" s="4"/>
      <c r="F2" s="4"/>
      <c r="G2" s="4"/>
      <c r="H2" s="4"/>
      <c r="I2" s="4"/>
      <c r="J2" s="5"/>
    </row>
    <row r="3" ht="33.75" customHeight="1">
      <c r="A3" t="s" s="8">
        <v>303</v>
      </c>
      <c r="B3" t="s" s="8">
        <v>304</v>
      </c>
      <c r="C3" t="s" s="8">
        <v>349</v>
      </c>
      <c r="D3" t="s" s="8">
        <v>239</v>
      </c>
      <c r="E3" t="s" s="8">
        <v>340</v>
      </c>
      <c r="F3" t="s" s="8">
        <v>240</v>
      </c>
      <c r="G3" t="s" s="8">
        <v>241</v>
      </c>
      <c r="H3" t="s" s="8">
        <v>350</v>
      </c>
      <c r="I3" t="s" s="8">
        <v>244</v>
      </c>
      <c r="J3" t="s" s="8">
        <v>351</v>
      </c>
    </row>
    <row r="4" ht="15" customHeight="1">
      <c r="A4" t="s" s="46">
        <v>365</v>
      </c>
      <c r="B4" s="12">
        <v>3080</v>
      </c>
      <c r="C4" s="26">
        <v>25.38</v>
      </c>
      <c r="D4" s="12">
        <v>2</v>
      </c>
      <c r="E4" s="26">
        <v>50.76</v>
      </c>
      <c r="F4" s="12">
        <v>1</v>
      </c>
      <c r="G4" s="12">
        <v>1</v>
      </c>
      <c r="H4" s="26">
        <v>38</v>
      </c>
      <c r="I4" s="26">
        <v>12.62</v>
      </c>
      <c r="J4" s="55">
        <v>0.332105263157895</v>
      </c>
    </row>
    <row r="5" ht="15" customHeight="1">
      <c r="A5" t="s" s="46">
        <v>324</v>
      </c>
      <c r="B5" s="12">
        <v>3080</v>
      </c>
      <c r="C5" s="26">
        <v>25.38</v>
      </c>
      <c r="D5" s="12">
        <v>21</v>
      </c>
      <c r="E5" s="26">
        <v>532.98</v>
      </c>
      <c r="F5" s="12">
        <v>15</v>
      </c>
      <c r="G5" s="12">
        <v>6</v>
      </c>
      <c r="H5" s="26">
        <v>456</v>
      </c>
      <c r="I5" s="26">
        <v>151.44</v>
      </c>
      <c r="J5" s="55">
        <v>0.332105263157895</v>
      </c>
    </row>
    <row r="6" ht="15" customHeight="1">
      <c r="A6" t="s" s="46">
        <v>326</v>
      </c>
      <c r="B6" s="12">
        <v>3080</v>
      </c>
      <c r="C6" s="26">
        <v>25.38</v>
      </c>
      <c r="D6" s="12">
        <v>7</v>
      </c>
      <c r="E6" s="26">
        <v>177.66</v>
      </c>
      <c r="F6" s="12">
        <v>2</v>
      </c>
      <c r="G6" s="12">
        <v>5</v>
      </c>
      <c r="H6" s="26">
        <v>76</v>
      </c>
      <c r="I6" s="26">
        <v>25.24</v>
      </c>
      <c r="J6" s="55">
        <v>0.332105263157895</v>
      </c>
    </row>
    <row r="7" ht="15" customHeight="1">
      <c r="A7" t="s" s="25">
        <v>253</v>
      </c>
      <c r="B7" s="13"/>
      <c r="C7" s="26"/>
      <c r="D7" s="12">
        <v>30</v>
      </c>
      <c r="E7" s="26">
        <v>761.4</v>
      </c>
      <c r="F7" s="12">
        <v>15</v>
      </c>
      <c r="G7" s="12">
        <v>15</v>
      </c>
      <c r="H7" s="26">
        <v>570</v>
      </c>
      <c r="I7" s="26">
        <v>189.3</v>
      </c>
      <c r="J7" s="55">
        <v>0.332105263157895</v>
      </c>
    </row>
    <row r="8" ht="13.5" customHeight="1">
      <c r="A8" s="6"/>
      <c r="B8" s="6"/>
      <c r="C8" s="6"/>
      <c r="D8" s="6"/>
      <c r="E8" s="6"/>
      <c r="F8" s="6"/>
      <c r="G8" s="6"/>
      <c r="H8" s="6"/>
      <c r="I8" s="6"/>
      <c r="J8" s="6"/>
    </row>
    <row r="9" ht="15" customHeight="1">
      <c r="A9" t="s" s="18">
        <v>359</v>
      </c>
      <c r="B9" s="6"/>
      <c r="C9" s="6"/>
      <c r="D9" s="6"/>
      <c r="E9" s="68">
        <v>761.4</v>
      </c>
      <c r="F9" s="6"/>
      <c r="G9" s="6"/>
      <c r="H9" s="6"/>
      <c r="I9" s="6"/>
      <c r="J9" s="6"/>
    </row>
    <row r="10" ht="15" customHeight="1">
      <c r="A10" t="s" s="18">
        <v>366</v>
      </c>
      <c r="B10" s="6"/>
      <c r="C10" s="6"/>
      <c r="D10" s="6"/>
      <c r="E10" s="68">
        <v>380.7</v>
      </c>
      <c r="F10" s="6"/>
      <c r="G10" s="6"/>
      <c r="H10" s="6"/>
      <c r="I10" s="6"/>
      <c r="J10" s="6"/>
    </row>
    <row r="11" ht="15" customHeight="1">
      <c r="A11" t="s" s="23">
        <v>367</v>
      </c>
      <c r="B11" s="6"/>
      <c r="C11" s="6"/>
      <c r="D11" s="6"/>
      <c r="E11" s="6"/>
      <c r="F11" s="6"/>
      <c r="G11" s="6"/>
      <c r="H11" s="6"/>
      <c r="I11" s="6"/>
      <c r="J11" s="6"/>
    </row>
  </sheetData>
  <mergeCells count="2">
    <mergeCell ref="A1:J1"/>
    <mergeCell ref="A2:J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J13"/>
  <sheetViews>
    <sheetView workbookViewId="0" showGridLines="0" defaultGridColor="1"/>
  </sheetViews>
  <sheetFormatPr defaultColWidth="8.66667" defaultRowHeight="15" customHeight="1" outlineLevelRow="0" outlineLevelCol="0"/>
  <cols>
    <col min="1" max="1" width="32" style="70" customWidth="1"/>
    <col min="2" max="2" width="15" style="70" customWidth="1"/>
    <col min="3" max="3" width="16" style="70" customWidth="1"/>
    <col min="4" max="4" width="10" style="70" customWidth="1"/>
    <col min="5" max="5" width="16" style="70" customWidth="1"/>
    <col min="6" max="6" width="10" style="70" customWidth="1"/>
    <col min="7" max="7" width="9" style="70" customWidth="1"/>
    <col min="8" max="8" width="15" style="70" customWidth="1"/>
    <col min="9" max="9" width="14" style="70" customWidth="1"/>
    <col min="10" max="10" width="10" style="70" customWidth="1"/>
    <col min="11" max="16384" width="8.67188" style="70" customWidth="1"/>
  </cols>
  <sheetData>
    <row r="1" ht="24" customHeight="1">
      <c r="A1" t="s" s="58">
        <v>368</v>
      </c>
      <c r="B1" s="3"/>
      <c r="C1" s="4"/>
      <c r="D1" s="4"/>
      <c r="E1" s="4"/>
      <c r="F1" s="4"/>
      <c r="G1" s="4"/>
      <c r="H1" s="4"/>
      <c r="I1" s="4"/>
      <c r="J1" s="5"/>
    </row>
    <row r="2" ht="13.5" customHeight="1">
      <c r="A2" t="s" s="45">
        <v>364</v>
      </c>
      <c r="B2" s="3"/>
      <c r="C2" s="4"/>
      <c r="D2" s="4"/>
      <c r="E2" s="4"/>
      <c r="F2" s="4"/>
      <c r="G2" s="4"/>
      <c r="H2" s="4"/>
      <c r="I2" s="4"/>
      <c r="J2" s="5"/>
    </row>
    <row r="3" ht="33.75" customHeight="1">
      <c r="A3" t="s" s="8">
        <v>303</v>
      </c>
      <c r="B3" t="s" s="8">
        <v>304</v>
      </c>
      <c r="C3" t="s" s="8">
        <v>349</v>
      </c>
      <c r="D3" t="s" s="8">
        <v>239</v>
      </c>
      <c r="E3" t="s" s="8">
        <v>340</v>
      </c>
      <c r="F3" t="s" s="8">
        <v>240</v>
      </c>
      <c r="G3" t="s" s="8">
        <v>241</v>
      </c>
      <c r="H3" t="s" s="8">
        <v>350</v>
      </c>
      <c r="I3" t="s" s="8">
        <v>244</v>
      </c>
      <c r="J3" t="s" s="8">
        <v>351</v>
      </c>
    </row>
    <row r="4" ht="15" customHeight="1">
      <c r="A4" t="s" s="46">
        <v>369</v>
      </c>
      <c r="B4" s="12">
        <v>4730</v>
      </c>
      <c r="C4" s="26">
        <v>38.98</v>
      </c>
      <c r="D4" s="12">
        <v>29</v>
      </c>
      <c r="E4" s="26">
        <v>1130.42</v>
      </c>
      <c r="F4" s="12">
        <v>14</v>
      </c>
      <c r="G4" s="12">
        <v>15</v>
      </c>
      <c r="H4" s="26">
        <v>780</v>
      </c>
      <c r="I4" s="26">
        <v>273.26</v>
      </c>
      <c r="J4" s="55">
        <v>0.350333333333333</v>
      </c>
    </row>
    <row r="5" ht="15" customHeight="1">
      <c r="A5" t="s" s="46">
        <v>370</v>
      </c>
      <c r="B5" s="12">
        <v>11000</v>
      </c>
      <c r="C5" s="26">
        <v>90.65000000000001</v>
      </c>
      <c r="D5" s="12">
        <v>8</v>
      </c>
      <c r="E5" s="26">
        <v>725.2</v>
      </c>
      <c r="F5" s="12">
        <v>4</v>
      </c>
      <c r="G5" s="12">
        <v>4</v>
      </c>
      <c r="H5" s="26">
        <v>480</v>
      </c>
      <c r="I5" s="26">
        <v>117.4</v>
      </c>
      <c r="J5" s="55">
        <v>0.244583333333333</v>
      </c>
    </row>
    <row r="6" ht="15" customHeight="1">
      <c r="A6" t="s" s="46">
        <v>371</v>
      </c>
      <c r="B6" s="12">
        <v>11000</v>
      </c>
      <c r="C6" s="26">
        <v>90.65000000000001</v>
      </c>
      <c r="D6" s="12">
        <v>15</v>
      </c>
      <c r="E6" s="26">
        <v>1359.75</v>
      </c>
      <c r="F6" s="12">
        <v>5</v>
      </c>
      <c r="G6" s="12">
        <v>10</v>
      </c>
      <c r="H6" s="26">
        <v>480</v>
      </c>
      <c r="I6" s="26">
        <v>117.4</v>
      </c>
      <c r="J6" s="55">
        <v>0.244583333333333</v>
      </c>
    </row>
    <row r="7" ht="15" customHeight="1">
      <c r="A7" t="s" s="25">
        <v>253</v>
      </c>
      <c r="B7" s="13"/>
      <c r="C7" s="26"/>
      <c r="D7" s="12">
        <v>52</v>
      </c>
      <c r="E7" s="26">
        <v>3215.37</v>
      </c>
      <c r="F7" s="12">
        <v>21</v>
      </c>
      <c r="G7" s="12">
        <v>31</v>
      </c>
      <c r="H7" s="26">
        <v>1740</v>
      </c>
      <c r="I7" s="26">
        <v>508.06</v>
      </c>
      <c r="J7" s="55">
        <v>0.291988505747126</v>
      </c>
    </row>
    <row r="8" ht="13.5" customHeight="1">
      <c r="A8" s="6"/>
      <c r="B8" s="6"/>
      <c r="C8" s="6"/>
      <c r="D8" s="6"/>
      <c r="E8" s="6"/>
      <c r="F8" s="6"/>
      <c r="G8" s="6"/>
      <c r="H8" s="6"/>
      <c r="I8" s="6"/>
      <c r="J8" s="6"/>
    </row>
    <row r="9" ht="15" customHeight="1">
      <c r="A9" t="s" s="18">
        <v>359</v>
      </c>
      <c r="B9" s="6"/>
      <c r="C9" s="6"/>
      <c r="D9" s="6"/>
      <c r="E9" s="68">
        <v>3215.37</v>
      </c>
      <c r="F9" s="6"/>
      <c r="G9" s="6"/>
      <c r="H9" s="6"/>
      <c r="I9" s="6"/>
      <c r="J9" s="6"/>
    </row>
    <row r="10" ht="15" customHeight="1">
      <c r="A10" t="s" s="18">
        <v>366</v>
      </c>
      <c r="B10" s="6"/>
      <c r="C10" s="6"/>
      <c r="D10" s="6"/>
      <c r="E10" s="68">
        <v>1983.43</v>
      </c>
      <c r="F10" s="6"/>
      <c r="G10" s="6"/>
      <c r="H10" s="6"/>
      <c r="I10" s="6"/>
      <c r="J10" s="6"/>
    </row>
    <row r="11" ht="15" customHeight="1">
      <c r="A11" t="s" s="45">
        <v>372</v>
      </c>
      <c r="B11" s="6"/>
      <c r="C11" s="6"/>
      <c r="D11" s="6"/>
      <c r="E11" s="6"/>
      <c r="F11" s="6"/>
      <c r="G11" s="6"/>
      <c r="H11" s="6"/>
      <c r="I11" s="6"/>
      <c r="J11" s="6"/>
    </row>
    <row r="12" ht="15" customHeight="1">
      <c r="A12" t="s" s="23">
        <v>373</v>
      </c>
      <c r="B12" s="6"/>
      <c r="C12" s="6"/>
      <c r="D12" s="6"/>
      <c r="E12" s="6"/>
      <c r="F12" s="6"/>
      <c r="G12" s="6"/>
      <c r="H12" s="6"/>
      <c r="I12" s="6"/>
      <c r="J12" s="6"/>
    </row>
    <row r="13" ht="15" customHeight="1">
      <c r="A13" t="s" s="23">
        <v>374</v>
      </c>
      <c r="B13" s="6"/>
      <c r="C13" s="6"/>
      <c r="D13" s="6"/>
      <c r="E13" s="6"/>
      <c r="F13" s="6"/>
      <c r="G13" s="6"/>
      <c r="H13" s="6"/>
      <c r="I13" s="6"/>
      <c r="J13" s="6"/>
    </row>
  </sheetData>
  <mergeCells count="2">
    <mergeCell ref="A1:J1"/>
    <mergeCell ref="A2:J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J16"/>
  <sheetViews>
    <sheetView workbookViewId="0" showGridLines="0" defaultGridColor="1"/>
  </sheetViews>
  <sheetFormatPr defaultColWidth="8.66667" defaultRowHeight="15" customHeight="1" outlineLevelRow="0" outlineLevelCol="0"/>
  <cols>
    <col min="1" max="1" width="32" style="71" customWidth="1"/>
    <col min="2" max="2" width="15" style="71" customWidth="1"/>
    <col min="3" max="3" width="16" style="71" customWidth="1"/>
    <col min="4" max="4" width="10" style="71" customWidth="1"/>
    <col min="5" max="5" width="16" style="71" customWidth="1"/>
    <col min="6" max="6" width="10" style="71" customWidth="1"/>
    <col min="7" max="7" width="9" style="71" customWidth="1"/>
    <col min="8" max="8" width="15" style="71" customWidth="1"/>
    <col min="9" max="9" width="14" style="71" customWidth="1"/>
    <col min="10" max="10" width="10" style="71" customWidth="1"/>
    <col min="11" max="16384" width="8.67188" style="71" customWidth="1"/>
  </cols>
  <sheetData>
    <row r="1" ht="24" customHeight="1">
      <c r="A1" t="s" s="58">
        <v>375</v>
      </c>
      <c r="B1" s="3"/>
      <c r="C1" s="4"/>
      <c r="D1" s="4"/>
      <c r="E1" s="4"/>
      <c r="F1" s="4"/>
      <c r="G1" s="4"/>
      <c r="H1" s="4"/>
      <c r="I1" s="4"/>
      <c r="J1" s="5"/>
    </row>
    <row r="2" ht="13.5" customHeight="1">
      <c r="A2" t="s" s="45">
        <v>364</v>
      </c>
      <c r="B2" s="3"/>
      <c r="C2" s="4"/>
      <c r="D2" s="4"/>
      <c r="E2" s="4"/>
      <c r="F2" s="4"/>
      <c r="G2" s="4"/>
      <c r="H2" s="4"/>
      <c r="I2" s="4"/>
      <c r="J2" s="5"/>
    </row>
    <row r="3" ht="33.75" customHeight="1">
      <c r="A3" t="s" s="8">
        <v>303</v>
      </c>
      <c r="B3" t="s" s="8">
        <v>304</v>
      </c>
      <c r="C3" t="s" s="8">
        <v>349</v>
      </c>
      <c r="D3" t="s" s="8">
        <v>239</v>
      </c>
      <c r="E3" t="s" s="8">
        <v>340</v>
      </c>
      <c r="F3" t="s" s="8">
        <v>240</v>
      </c>
      <c r="G3" t="s" s="8">
        <v>241</v>
      </c>
      <c r="H3" t="s" s="8">
        <v>350</v>
      </c>
      <c r="I3" t="s" s="8">
        <v>244</v>
      </c>
      <c r="J3" t="s" s="8">
        <v>351</v>
      </c>
    </row>
    <row r="4" ht="15" customHeight="1">
      <c r="A4" t="s" s="46">
        <v>332</v>
      </c>
      <c r="B4" s="12">
        <v>4070</v>
      </c>
      <c r="C4" s="26">
        <v>33.55</v>
      </c>
      <c r="D4" s="12">
        <v>10</v>
      </c>
      <c r="E4" s="26">
        <v>335.5</v>
      </c>
      <c r="F4" s="12">
        <v>6</v>
      </c>
      <c r="G4" s="12">
        <v>4</v>
      </c>
      <c r="H4" s="26">
        <v>260</v>
      </c>
      <c r="I4" s="26">
        <v>92.25</v>
      </c>
      <c r="J4" s="55">
        <v>0.354807692307692</v>
      </c>
    </row>
    <row r="5" ht="15" customHeight="1">
      <c r="A5" t="s" s="46">
        <v>330</v>
      </c>
      <c r="B5" s="12">
        <v>4180</v>
      </c>
      <c r="C5" s="26">
        <v>34.45</v>
      </c>
      <c r="D5" s="12">
        <v>18</v>
      </c>
      <c r="E5" s="26">
        <v>620.1</v>
      </c>
      <c r="F5" s="12">
        <v>8</v>
      </c>
      <c r="G5" s="12">
        <v>10</v>
      </c>
      <c r="H5" s="26">
        <v>408</v>
      </c>
      <c r="I5" s="26">
        <v>132.4</v>
      </c>
      <c r="J5" s="55">
        <v>0.324509803921569</v>
      </c>
    </row>
    <row r="6" ht="15" customHeight="1">
      <c r="A6" t="s" s="46">
        <v>376</v>
      </c>
      <c r="B6" s="12">
        <v>5500</v>
      </c>
      <c r="C6" s="26">
        <v>45.33</v>
      </c>
      <c r="D6" s="12">
        <v>15</v>
      </c>
      <c r="E6" s="26">
        <v>679.95</v>
      </c>
      <c r="F6" s="12">
        <v>4</v>
      </c>
      <c r="G6" s="12">
        <v>11</v>
      </c>
      <c r="H6" s="26">
        <v>170</v>
      </c>
      <c r="I6" s="26">
        <v>34.01</v>
      </c>
      <c r="J6" s="55">
        <v>0.200058823529412</v>
      </c>
    </row>
    <row r="7" ht="15" customHeight="1">
      <c r="A7" t="s" s="46">
        <v>377</v>
      </c>
      <c r="B7" s="12">
        <v>2860</v>
      </c>
      <c r="C7" s="26">
        <v>23.57</v>
      </c>
      <c r="D7" s="12">
        <v>9</v>
      </c>
      <c r="E7" s="26">
        <v>212.13</v>
      </c>
      <c r="F7" s="12">
        <v>4</v>
      </c>
      <c r="G7" s="12">
        <v>5</v>
      </c>
      <c r="H7" s="26">
        <v>132</v>
      </c>
      <c r="I7" s="26">
        <v>37.72</v>
      </c>
      <c r="J7" s="55">
        <v>0.285757575757576</v>
      </c>
    </row>
    <row r="8" ht="15" customHeight="1">
      <c r="A8" t="s" s="46">
        <v>378</v>
      </c>
      <c r="B8" s="12">
        <v>2860</v>
      </c>
      <c r="C8" s="26">
        <v>23.57</v>
      </c>
      <c r="D8" s="12">
        <v>3</v>
      </c>
      <c r="E8" s="26">
        <v>70.70999999999999</v>
      </c>
      <c r="F8" s="12">
        <v>0</v>
      </c>
      <c r="G8" s="12">
        <v>3</v>
      </c>
      <c r="H8" s="26">
        <v>0</v>
      </c>
      <c r="I8" s="26">
        <v>0</v>
      </c>
      <c r="J8" s="55">
        <v>0</v>
      </c>
    </row>
    <row r="9" ht="15" customHeight="1">
      <c r="A9" t="s" s="46">
        <v>379</v>
      </c>
      <c r="B9" s="12">
        <v>2200</v>
      </c>
      <c r="C9" s="26">
        <v>18.13</v>
      </c>
      <c r="D9" s="12">
        <v>10</v>
      </c>
      <c r="E9" s="26">
        <v>181.3</v>
      </c>
      <c r="F9" s="12">
        <v>3</v>
      </c>
      <c r="G9" s="12">
        <v>7</v>
      </c>
      <c r="H9" s="26">
        <v>78</v>
      </c>
      <c r="I9" s="26">
        <v>23.61</v>
      </c>
      <c r="J9" s="55">
        <v>0.302692307692308</v>
      </c>
    </row>
    <row r="10" ht="15" customHeight="1">
      <c r="A10" t="s" s="46">
        <v>380</v>
      </c>
      <c r="B10" s="12">
        <v>660</v>
      </c>
      <c r="C10" s="26">
        <v>5.44</v>
      </c>
      <c r="D10" s="12">
        <v>10</v>
      </c>
      <c r="E10" s="26">
        <v>54.4</v>
      </c>
      <c r="F10" s="12">
        <v>3</v>
      </c>
      <c r="G10" s="12">
        <v>7</v>
      </c>
      <c r="H10" s="26">
        <v>24</v>
      </c>
      <c r="I10" s="26">
        <v>7.68</v>
      </c>
      <c r="J10" s="55">
        <v>0.32</v>
      </c>
    </row>
    <row r="11" ht="15" customHeight="1">
      <c r="A11" t="s" s="25">
        <v>253</v>
      </c>
      <c r="B11" s="67"/>
      <c r="C11" s="26"/>
      <c r="D11" s="12">
        <v>75</v>
      </c>
      <c r="E11" s="26">
        <v>2154.09</v>
      </c>
      <c r="F11" s="12">
        <v>26</v>
      </c>
      <c r="G11" s="12">
        <v>49</v>
      </c>
      <c r="H11" s="26">
        <v>1072</v>
      </c>
      <c r="I11" s="26">
        <v>327.67</v>
      </c>
      <c r="J11" s="55">
        <v>0.305662313432836</v>
      </c>
    </row>
    <row r="12" ht="15" customHeight="1">
      <c r="A12" s="72"/>
      <c r="B12" s="6"/>
      <c r="C12" s="6"/>
      <c r="D12" s="6"/>
      <c r="E12" s="68"/>
      <c r="F12" s="6"/>
      <c r="G12" s="6"/>
      <c r="H12" s="6"/>
      <c r="I12" s="6"/>
      <c r="J12" s="6"/>
    </row>
    <row r="13" ht="15" customHeight="1">
      <c r="A13" t="s" s="18">
        <v>359</v>
      </c>
      <c r="B13" s="6"/>
      <c r="C13" s="6"/>
      <c r="D13" s="6"/>
      <c r="E13" s="68">
        <v>2154.09</v>
      </c>
      <c r="F13" s="6"/>
      <c r="G13" s="6"/>
      <c r="H13" s="6"/>
      <c r="I13" s="6"/>
      <c r="J13" s="6"/>
    </row>
    <row r="14" ht="15" customHeight="1">
      <c r="A14" t="s" s="18">
        <v>366</v>
      </c>
      <c r="B14" s="6"/>
      <c r="C14" s="6"/>
      <c r="D14" s="6"/>
      <c r="E14" s="68">
        <v>1409.76</v>
      </c>
      <c r="F14" s="6"/>
      <c r="G14" s="6"/>
      <c r="H14" s="6"/>
      <c r="I14" s="6"/>
      <c r="J14" s="6"/>
    </row>
    <row r="15" ht="15" customHeight="1">
      <c r="A15" t="s" s="45">
        <v>381</v>
      </c>
      <c r="B15" s="6"/>
      <c r="C15" s="6"/>
      <c r="D15" s="6"/>
      <c r="E15" s="6"/>
      <c r="F15" s="6"/>
      <c r="G15" s="6"/>
      <c r="H15" s="6"/>
      <c r="I15" s="6"/>
      <c r="J15" s="6"/>
    </row>
    <row r="16" ht="15" customHeight="1">
      <c r="A16" t="s" s="45">
        <v>382</v>
      </c>
      <c r="B16" s="6"/>
      <c r="C16" s="6"/>
      <c r="D16" s="6"/>
      <c r="E16" s="6"/>
      <c r="F16" s="6"/>
      <c r="G16" s="6"/>
      <c r="H16" s="6"/>
      <c r="I16" s="6"/>
      <c r="J16" s="6"/>
    </row>
  </sheetData>
  <mergeCells count="2">
    <mergeCell ref="A1:J1"/>
    <mergeCell ref="A2:J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8.66667" defaultRowHeight="15" customHeight="1" outlineLevelRow="0" outlineLevelCol="0"/>
  <cols>
    <col min="1" max="1" width="32" style="73" customWidth="1"/>
    <col min="2" max="2" width="15" style="73" customWidth="1"/>
    <col min="3" max="3" width="16" style="73" customWidth="1"/>
    <col min="4" max="4" width="10" style="73" customWidth="1"/>
    <col min="5" max="5" width="16" style="73" customWidth="1"/>
    <col min="6" max="6" width="10" style="73" customWidth="1"/>
    <col min="7" max="7" width="9" style="73" customWidth="1"/>
    <col min="8" max="8" width="15" style="73" customWidth="1"/>
    <col min="9" max="9" width="14" style="73" customWidth="1"/>
    <col min="10" max="10" width="10" style="73" customWidth="1"/>
    <col min="11" max="16384" width="8.67188" style="73" customWidth="1"/>
  </cols>
  <sheetData>
    <row r="1" ht="24" customHeight="1">
      <c r="A1" t="s" s="58">
        <v>383</v>
      </c>
      <c r="B1" s="3"/>
      <c r="C1" s="4"/>
      <c r="D1" s="4"/>
      <c r="E1" s="4"/>
      <c r="F1" s="4"/>
      <c r="G1" s="4"/>
      <c r="H1" s="4"/>
      <c r="I1" s="4"/>
      <c r="J1" s="5"/>
    </row>
    <row r="2" ht="13.5" customHeight="1">
      <c r="A2" t="s" s="45">
        <v>364</v>
      </c>
      <c r="B2" s="3"/>
      <c r="C2" s="4"/>
      <c r="D2" s="4"/>
      <c r="E2" s="4"/>
      <c r="F2" s="4"/>
      <c r="G2" s="4"/>
      <c r="H2" s="4"/>
      <c r="I2" s="4"/>
      <c r="J2" s="5"/>
    </row>
    <row r="3" ht="33.75" customHeight="1">
      <c r="A3" t="s" s="8">
        <v>303</v>
      </c>
      <c r="B3" t="s" s="8">
        <v>304</v>
      </c>
      <c r="C3" t="s" s="8">
        <v>349</v>
      </c>
      <c r="D3" t="s" s="8">
        <v>239</v>
      </c>
      <c r="E3" t="s" s="8">
        <v>340</v>
      </c>
      <c r="F3" t="s" s="8">
        <v>240</v>
      </c>
      <c r="G3" t="s" s="8">
        <v>241</v>
      </c>
      <c r="H3" t="s" s="8">
        <v>350</v>
      </c>
      <c r="I3" t="s" s="8">
        <v>244</v>
      </c>
      <c r="J3" t="s" s="8">
        <v>351</v>
      </c>
    </row>
    <row r="4" ht="15" customHeight="1">
      <c r="A4" t="s" s="46">
        <v>384</v>
      </c>
      <c r="B4" s="12">
        <v>3850</v>
      </c>
      <c r="C4" s="26">
        <v>31.73</v>
      </c>
      <c r="D4" s="12">
        <v>20</v>
      </c>
      <c r="E4" s="26">
        <v>634.6</v>
      </c>
      <c r="F4" s="12">
        <v>11</v>
      </c>
      <c r="G4" s="12">
        <v>9</v>
      </c>
      <c r="H4" s="26">
        <v>480</v>
      </c>
      <c r="I4" s="26">
        <v>130.97</v>
      </c>
      <c r="J4" s="55">
        <v>0.272854166666667</v>
      </c>
    </row>
    <row r="5" ht="15" customHeight="1">
      <c r="A5" t="s" s="25">
        <v>253</v>
      </c>
      <c r="B5" s="13"/>
      <c r="C5" s="26"/>
      <c r="D5" s="12">
        <v>20</v>
      </c>
      <c r="E5" s="26">
        <v>634.6</v>
      </c>
      <c r="F5" s="12">
        <v>11</v>
      </c>
      <c r="G5" s="12">
        <v>9</v>
      </c>
      <c r="H5" s="26">
        <v>480</v>
      </c>
      <c r="I5" s="26">
        <v>130.97</v>
      </c>
      <c r="J5" s="55">
        <v>0.272854166666667</v>
      </c>
    </row>
    <row r="6" ht="13.5" customHeight="1">
      <c r="A6" s="6"/>
      <c r="B6" s="6"/>
      <c r="C6" s="6"/>
      <c r="D6" s="6"/>
      <c r="E6" s="6"/>
      <c r="F6" s="6"/>
      <c r="G6" s="6"/>
      <c r="H6" s="6"/>
      <c r="I6" s="6"/>
      <c r="J6" s="6"/>
    </row>
    <row r="7" ht="15" customHeight="1">
      <c r="A7" t="s" s="18">
        <v>359</v>
      </c>
      <c r="B7" s="6"/>
      <c r="C7" s="6"/>
      <c r="D7" s="6"/>
      <c r="E7" s="68">
        <v>634.6</v>
      </c>
      <c r="F7" s="6"/>
      <c r="G7" s="6"/>
      <c r="H7" s="6"/>
      <c r="I7" s="6"/>
      <c r="J7" s="6"/>
    </row>
    <row r="8" ht="15" customHeight="1">
      <c r="A8" t="s" s="18">
        <v>366</v>
      </c>
      <c r="B8" s="6"/>
      <c r="C8" s="6"/>
      <c r="D8" s="6"/>
      <c r="E8" s="68">
        <v>285.57</v>
      </c>
      <c r="F8" s="6"/>
      <c r="G8" s="6"/>
      <c r="H8" s="6"/>
      <c r="I8" s="6"/>
      <c r="J8" s="6"/>
    </row>
    <row r="9" ht="15" customHeight="1">
      <c r="A9" t="s" s="45">
        <v>385</v>
      </c>
      <c r="B9" s="6"/>
      <c r="C9" s="6"/>
      <c r="D9" s="6"/>
      <c r="E9" s="6"/>
      <c r="F9" s="6"/>
      <c r="G9" s="6"/>
      <c r="H9" s="6"/>
      <c r="I9" s="6"/>
      <c r="J9" s="6"/>
    </row>
    <row r="10" ht="13.5" customHeight="1">
      <c r="A10" s="6"/>
      <c r="B10" s="6"/>
      <c r="C10" s="6"/>
      <c r="D10" s="6"/>
      <c r="E10" s="6"/>
      <c r="F10" s="6"/>
      <c r="G10" s="6"/>
      <c r="H10" s="6"/>
      <c r="I10" s="6"/>
      <c r="J10" s="6"/>
    </row>
  </sheetData>
  <mergeCells count="2">
    <mergeCell ref="A1:J1"/>
    <mergeCell ref="A2:J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8.66667" defaultRowHeight="15" customHeight="1" outlineLevelRow="0" outlineLevelCol="0"/>
  <cols>
    <col min="1" max="1" width="32" style="74" customWidth="1"/>
    <col min="2" max="2" width="15" style="74" customWidth="1"/>
    <col min="3" max="3" width="16" style="74" customWidth="1"/>
    <col min="4" max="4" width="10" style="74" customWidth="1"/>
    <col min="5" max="5" width="16" style="74" customWidth="1"/>
    <col min="6" max="6" width="10" style="74" customWidth="1"/>
    <col min="7" max="7" width="9" style="74" customWidth="1"/>
    <col min="8" max="8" width="15" style="74" customWidth="1"/>
    <col min="9" max="9" width="14" style="74" customWidth="1"/>
    <col min="10" max="10" width="10" style="74" customWidth="1"/>
    <col min="11" max="16384" width="8.67188" style="74" customWidth="1"/>
  </cols>
  <sheetData>
    <row r="1" ht="24" customHeight="1">
      <c r="A1" t="s" s="58">
        <v>386</v>
      </c>
      <c r="B1" s="3"/>
      <c r="C1" s="4"/>
      <c r="D1" s="4"/>
      <c r="E1" s="4"/>
      <c r="F1" s="4"/>
      <c r="G1" s="4"/>
      <c r="H1" s="4"/>
      <c r="I1" s="4"/>
      <c r="J1" s="5"/>
    </row>
    <row r="2" ht="13.5" customHeight="1">
      <c r="A2" t="s" s="45">
        <v>364</v>
      </c>
      <c r="B2" s="3"/>
      <c r="C2" s="4"/>
      <c r="D2" s="4"/>
      <c r="E2" s="4"/>
      <c r="F2" s="4"/>
      <c r="G2" s="4"/>
      <c r="H2" s="4"/>
      <c r="I2" s="4"/>
      <c r="J2" s="5"/>
    </row>
    <row r="3" ht="33.75" customHeight="1">
      <c r="A3" t="s" s="8">
        <v>303</v>
      </c>
      <c r="B3" t="s" s="8">
        <v>304</v>
      </c>
      <c r="C3" t="s" s="8">
        <v>349</v>
      </c>
      <c r="D3" t="s" s="8">
        <v>239</v>
      </c>
      <c r="E3" t="s" s="8">
        <v>340</v>
      </c>
      <c r="F3" t="s" s="8">
        <v>240</v>
      </c>
      <c r="G3" t="s" s="8">
        <v>241</v>
      </c>
      <c r="H3" t="s" s="8">
        <v>350</v>
      </c>
      <c r="I3" t="s" s="8">
        <v>244</v>
      </c>
      <c r="J3" t="s" s="8">
        <v>351</v>
      </c>
    </row>
    <row r="4" ht="15" customHeight="1">
      <c r="A4" t="s" s="46">
        <v>387</v>
      </c>
      <c r="B4" s="12">
        <v>3300</v>
      </c>
      <c r="C4" s="26">
        <v>27.2</v>
      </c>
      <c r="D4" s="12">
        <v>5</v>
      </c>
      <c r="E4" s="26">
        <v>136</v>
      </c>
      <c r="F4" s="12">
        <v>2</v>
      </c>
      <c r="G4" s="12">
        <v>3</v>
      </c>
      <c r="H4" s="26">
        <v>80</v>
      </c>
      <c r="I4" s="26">
        <v>25.6</v>
      </c>
      <c r="J4" s="55">
        <v>0.32</v>
      </c>
    </row>
    <row r="5" ht="15" customHeight="1">
      <c r="A5" t="s" s="25">
        <v>253</v>
      </c>
      <c r="B5" s="13"/>
      <c r="C5" s="26"/>
      <c r="D5" s="12">
        <v>5</v>
      </c>
      <c r="E5" s="26">
        <v>136</v>
      </c>
      <c r="F5" s="12">
        <v>2</v>
      </c>
      <c r="G5" s="12">
        <v>3</v>
      </c>
      <c r="H5" s="26">
        <v>80</v>
      </c>
      <c r="I5" s="26">
        <v>25.6</v>
      </c>
      <c r="J5" s="55">
        <v>0.32</v>
      </c>
    </row>
    <row r="6" ht="13.5" customHeight="1">
      <c r="A6" s="6"/>
      <c r="B6" s="6"/>
      <c r="C6" s="6"/>
      <c r="D6" s="6"/>
      <c r="E6" s="6"/>
      <c r="F6" s="6"/>
      <c r="G6" s="6"/>
      <c r="H6" s="6"/>
      <c r="I6" s="6"/>
      <c r="J6" s="6"/>
    </row>
    <row r="7" ht="15" customHeight="1">
      <c r="A7" t="s" s="18">
        <v>359</v>
      </c>
      <c r="B7" s="6"/>
      <c r="C7" s="6"/>
      <c r="D7" s="6"/>
      <c r="E7" s="68">
        <v>136</v>
      </c>
      <c r="F7" s="6"/>
      <c r="G7" s="6"/>
      <c r="H7" s="6"/>
      <c r="I7" s="6"/>
      <c r="J7" s="6"/>
    </row>
    <row r="8" ht="15" customHeight="1">
      <c r="A8" t="s" s="18">
        <v>366</v>
      </c>
      <c r="B8" s="6"/>
      <c r="C8" s="6"/>
      <c r="D8" s="6"/>
      <c r="E8" s="68">
        <v>81.59999999999999</v>
      </c>
      <c r="F8" s="6"/>
      <c r="G8" s="6"/>
      <c r="H8" s="6"/>
      <c r="I8" s="6"/>
      <c r="J8" s="6"/>
    </row>
    <row r="9" ht="15" customHeight="1">
      <c r="A9" t="s" s="45">
        <v>388</v>
      </c>
      <c r="B9" s="6"/>
      <c r="C9" s="6"/>
      <c r="D9" s="6"/>
      <c r="E9" s="6"/>
      <c r="F9" s="6"/>
      <c r="G9" s="6"/>
      <c r="H9" s="6"/>
      <c r="I9" s="6"/>
      <c r="J9" s="6"/>
    </row>
    <row r="10" ht="13.5" customHeight="1">
      <c r="A10" s="6"/>
      <c r="B10" s="6"/>
      <c r="C10" s="6"/>
      <c r="D10" s="6"/>
      <c r="E10" s="6"/>
      <c r="F10" s="6"/>
      <c r="G10" s="6"/>
      <c r="H10" s="6"/>
      <c r="I10" s="6"/>
      <c r="J10" s="6"/>
    </row>
  </sheetData>
  <mergeCells count="2">
    <mergeCell ref="A1:J1"/>
    <mergeCell ref="A2:J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J10"/>
  <sheetViews>
    <sheetView workbookViewId="0" showGridLines="0" defaultGridColor="1"/>
  </sheetViews>
  <sheetFormatPr defaultColWidth="8.66667" defaultRowHeight="15" customHeight="1" outlineLevelRow="0" outlineLevelCol="0"/>
  <cols>
    <col min="1" max="1" width="32" style="75" customWidth="1"/>
    <col min="2" max="2" width="15" style="75" customWidth="1"/>
    <col min="3" max="3" width="16" style="75" customWidth="1"/>
    <col min="4" max="4" width="10" style="75" customWidth="1"/>
    <col min="5" max="5" width="16" style="75" customWidth="1"/>
    <col min="6" max="6" width="10" style="75" customWidth="1"/>
    <col min="7" max="7" width="9" style="75" customWidth="1"/>
    <col min="8" max="8" width="15" style="75" customWidth="1"/>
    <col min="9" max="9" width="14" style="75" customWidth="1"/>
    <col min="10" max="10" width="10" style="75" customWidth="1"/>
    <col min="11" max="16384" width="8.67188" style="75" customWidth="1"/>
  </cols>
  <sheetData>
    <row r="1" ht="24" customHeight="1">
      <c r="A1" t="s" s="58">
        <v>389</v>
      </c>
      <c r="B1" s="3"/>
      <c r="C1" s="4"/>
      <c r="D1" s="4"/>
      <c r="E1" s="4"/>
      <c r="F1" s="4"/>
      <c r="G1" s="4"/>
      <c r="H1" s="4"/>
      <c r="I1" s="4"/>
      <c r="J1" s="5"/>
    </row>
    <row r="2" ht="13.5" customHeight="1">
      <c r="A2" t="s" s="45">
        <v>364</v>
      </c>
      <c r="B2" s="3"/>
      <c r="C2" s="4"/>
      <c r="D2" s="4"/>
      <c r="E2" s="4"/>
      <c r="F2" s="4"/>
      <c r="G2" s="4"/>
      <c r="H2" s="4"/>
      <c r="I2" s="4"/>
      <c r="J2" s="5"/>
    </row>
    <row r="3" ht="33.75" customHeight="1">
      <c r="A3" t="s" s="8">
        <v>303</v>
      </c>
      <c r="B3" t="s" s="8">
        <v>304</v>
      </c>
      <c r="C3" t="s" s="8">
        <v>349</v>
      </c>
      <c r="D3" t="s" s="8">
        <v>239</v>
      </c>
      <c r="E3" t="s" s="8">
        <v>340</v>
      </c>
      <c r="F3" t="s" s="8">
        <v>240</v>
      </c>
      <c r="G3" t="s" s="8">
        <v>241</v>
      </c>
      <c r="H3" t="s" s="8">
        <v>350</v>
      </c>
      <c r="I3" t="s" s="8">
        <v>244</v>
      </c>
      <c r="J3" t="s" s="8">
        <v>351</v>
      </c>
    </row>
    <row r="4" ht="15" customHeight="1">
      <c r="A4" t="s" s="46">
        <v>390</v>
      </c>
      <c r="B4" s="12">
        <v>4180</v>
      </c>
      <c r="C4" s="26">
        <v>34.45</v>
      </c>
      <c r="D4" s="12">
        <v>15</v>
      </c>
      <c r="E4" s="26">
        <v>516.75</v>
      </c>
      <c r="F4" s="12">
        <v>7</v>
      </c>
      <c r="G4" s="12">
        <v>8</v>
      </c>
      <c r="H4" s="26">
        <v>240</v>
      </c>
      <c r="I4" s="26">
        <v>67.75</v>
      </c>
      <c r="J4" s="55">
        <v>0.282291666666667</v>
      </c>
    </row>
    <row r="5" ht="15" customHeight="1">
      <c r="A5" t="s" s="25">
        <v>253</v>
      </c>
      <c r="B5" s="13"/>
      <c r="C5" s="26"/>
      <c r="D5" s="12">
        <v>15</v>
      </c>
      <c r="E5" s="26">
        <v>516.75</v>
      </c>
      <c r="F5" s="12">
        <v>5</v>
      </c>
      <c r="G5" s="12">
        <v>10</v>
      </c>
      <c r="H5" s="26">
        <v>240</v>
      </c>
      <c r="I5" s="26">
        <v>67.75</v>
      </c>
      <c r="J5" s="55">
        <v>0.282291666666667</v>
      </c>
    </row>
    <row r="6" ht="13.5" customHeight="1">
      <c r="A6" s="6"/>
      <c r="B6" s="6"/>
      <c r="C6" s="6"/>
      <c r="D6" s="6"/>
      <c r="E6" s="6"/>
      <c r="F6" s="6"/>
      <c r="G6" s="6"/>
      <c r="H6" s="6"/>
      <c r="I6" s="6"/>
      <c r="J6" s="6"/>
    </row>
    <row r="7" ht="15" customHeight="1">
      <c r="A7" t="s" s="18">
        <v>359</v>
      </c>
      <c r="B7" s="6"/>
      <c r="C7" s="6"/>
      <c r="D7" s="6"/>
      <c r="E7" s="68">
        <v>516.75</v>
      </c>
      <c r="F7" s="6"/>
      <c r="G7" s="6"/>
      <c r="H7" s="6"/>
      <c r="I7" s="6"/>
      <c r="J7" s="6"/>
    </row>
    <row r="8" ht="15" customHeight="1">
      <c r="A8" t="s" s="18">
        <v>366</v>
      </c>
      <c r="B8" s="6"/>
      <c r="C8" s="6"/>
      <c r="D8" s="6"/>
      <c r="E8" s="68">
        <v>344.5</v>
      </c>
      <c r="F8" s="6"/>
      <c r="G8" s="6"/>
      <c r="H8" s="6"/>
      <c r="I8" s="6"/>
      <c r="J8" s="6"/>
    </row>
    <row r="9" ht="15" customHeight="1">
      <c r="A9" t="s" s="45">
        <v>391</v>
      </c>
      <c r="B9" s="6"/>
      <c r="C9" s="6"/>
      <c r="D9" s="6"/>
      <c r="E9" s="6"/>
      <c r="F9" s="6"/>
      <c r="G9" s="6"/>
      <c r="H9" s="6"/>
      <c r="I9" s="6"/>
      <c r="J9" s="6"/>
    </row>
    <row r="10" ht="13.5" customHeight="1">
      <c r="A10" s="6"/>
      <c r="B10" s="6"/>
      <c r="C10" s="6"/>
      <c r="D10" s="6"/>
      <c r="E10" s="6"/>
      <c r="F10" s="6"/>
      <c r="G10" s="6"/>
      <c r="H10" s="6"/>
      <c r="I10" s="6"/>
      <c r="J10" s="6"/>
    </row>
  </sheetData>
  <mergeCells count="2">
    <mergeCell ref="A1:J1"/>
    <mergeCell ref="A2:J2"/>
  </mergeCells>
  <pageMargins left="0.75" right="0.75" top="1" bottom="1" header="0.511811" footer="0.511806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dimension ref="A1:L10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76" customWidth="1"/>
    <col min="2" max="2" width="8" style="76" customWidth="1"/>
    <col min="3" max="3" width="14" style="76" customWidth="1"/>
    <col min="4" max="4" width="8.85156" style="76" customWidth="1"/>
    <col min="5" max="5" width="11" style="76" customWidth="1"/>
    <col min="6" max="6" width="16" style="76" customWidth="1"/>
    <col min="7" max="7" width="34" style="76" customWidth="1"/>
    <col min="8" max="8" width="13" style="76" customWidth="1"/>
    <col min="9" max="9" width="24" style="76" customWidth="1"/>
    <col min="10" max="10" width="8.67188" style="76" customWidth="1"/>
    <col min="11" max="11" width="18" style="76" customWidth="1"/>
    <col min="12" max="12" width="12" style="76" customWidth="1"/>
    <col min="13" max="16384" width="8.85156" style="76" customWidth="1"/>
  </cols>
  <sheetData>
    <row r="1" ht="18.5" customHeight="1">
      <c r="A1" t="s" s="2">
        <v>0</v>
      </c>
      <c r="B1" s="77"/>
      <c r="C1" s="78"/>
      <c r="D1" s="79"/>
      <c r="E1" s="78"/>
      <c r="F1" s="78"/>
      <c r="G1" s="78"/>
      <c r="H1" s="78"/>
      <c r="I1" s="80"/>
      <c r="J1" s="6"/>
      <c r="K1" s="6"/>
      <c r="L1" s="6"/>
    </row>
    <row r="2" ht="24.65" customHeight="1">
      <c r="A2" t="s" s="7">
        <v>1</v>
      </c>
      <c r="B2" t="s" s="7">
        <v>2</v>
      </c>
      <c r="C2" t="s" s="7">
        <v>3</v>
      </c>
      <c r="D2" t="s" s="7">
        <v>4</v>
      </c>
      <c r="E2" t="s" s="7">
        <v>5</v>
      </c>
      <c r="F2" t="s" s="7">
        <v>6</v>
      </c>
      <c r="G2" t="s" s="8">
        <v>7</v>
      </c>
      <c r="H2" t="s" s="8">
        <v>8</v>
      </c>
      <c r="I2" t="s" s="7">
        <v>9</v>
      </c>
      <c r="J2" s="6"/>
      <c r="K2" t="s" s="9">
        <v>10</v>
      </c>
      <c r="L2" s="6"/>
    </row>
    <row r="3" ht="13.65" customHeight="1">
      <c r="A3" t="s" s="10">
        <v>392</v>
      </c>
      <c r="B3" t="s" s="10">
        <v>12</v>
      </c>
      <c r="C3" t="s" s="11">
        <v>99</v>
      </c>
      <c r="D3" t="s" s="81">
        <v>393</v>
      </c>
      <c r="E3" s="12">
        <v>250</v>
      </c>
      <c r="F3" t="s" s="11">
        <v>15</v>
      </c>
      <c r="G3" t="s" s="11">
        <v>394</v>
      </c>
      <c r="H3" s="12">
        <v>122</v>
      </c>
      <c r="I3" t="s" s="11">
        <v>395</v>
      </c>
      <c r="J3" s="82"/>
      <c r="K3" s="83"/>
      <c r="L3" s="83"/>
    </row>
    <row r="4" ht="13.65" customHeight="1">
      <c r="A4" t="s" s="10">
        <v>392</v>
      </c>
      <c r="B4" t="s" s="10">
        <v>17</v>
      </c>
      <c r="C4" t="s" s="11">
        <v>396</v>
      </c>
      <c r="D4" t="s" s="81">
        <v>397</v>
      </c>
      <c r="E4" s="12">
        <v>250</v>
      </c>
      <c r="F4" t="s" s="11">
        <v>15</v>
      </c>
      <c r="G4" t="s" s="11">
        <v>398</v>
      </c>
      <c r="H4" s="12">
        <v>92</v>
      </c>
      <c r="I4" t="s" s="11">
        <v>399</v>
      </c>
      <c r="J4" s="84"/>
      <c r="K4" s="85"/>
      <c r="L4" s="85"/>
    </row>
    <row r="5" ht="13.65" customHeight="1">
      <c r="A5" t="s" s="10">
        <v>392</v>
      </c>
      <c r="B5" t="s" s="10">
        <v>22</v>
      </c>
      <c r="C5" t="s" s="11">
        <v>400</v>
      </c>
      <c r="D5" t="s" s="81">
        <v>191</v>
      </c>
      <c r="E5" s="12">
        <v>250</v>
      </c>
      <c r="F5" t="s" s="11">
        <v>15</v>
      </c>
      <c r="G5" t="s" s="11">
        <v>401</v>
      </c>
      <c r="H5" s="12">
        <v>280</v>
      </c>
      <c r="I5" t="s" s="11">
        <v>402</v>
      </c>
      <c r="J5" s="84"/>
      <c r="K5" s="85"/>
      <c r="L5" s="85"/>
    </row>
    <row r="6" ht="13.65" customHeight="1">
      <c r="A6" t="s" s="10">
        <v>392</v>
      </c>
      <c r="B6" t="s" s="10">
        <v>27</v>
      </c>
      <c r="C6" t="s" s="11">
        <v>403</v>
      </c>
      <c r="D6" t="s" s="81">
        <v>404</v>
      </c>
      <c r="E6" s="12">
        <v>250</v>
      </c>
      <c r="F6" t="s" s="11">
        <v>15</v>
      </c>
      <c r="G6" t="s" s="11">
        <v>405</v>
      </c>
      <c r="H6" s="12">
        <v>86</v>
      </c>
      <c r="I6" t="s" s="11">
        <v>406</v>
      </c>
      <c r="J6" s="84"/>
      <c r="K6" s="85"/>
      <c r="L6" s="85"/>
    </row>
    <row r="7" ht="13.55" customHeight="1">
      <c r="A7" s="83"/>
      <c r="B7" s="83"/>
      <c r="C7" s="83"/>
      <c r="D7" s="86"/>
      <c r="E7" s="83"/>
      <c r="F7" s="83"/>
      <c r="G7" s="83"/>
      <c r="H7" s="83"/>
      <c r="I7" s="83"/>
      <c r="J7" s="85"/>
      <c r="K7" s="85"/>
      <c r="L7" s="85"/>
    </row>
    <row r="8" ht="13.55" customHeight="1">
      <c r="A8" s="85"/>
      <c r="B8" s="85"/>
      <c r="C8" s="85"/>
      <c r="D8" s="87"/>
      <c r="E8" s="85"/>
      <c r="F8" s="85"/>
      <c r="G8" s="85"/>
      <c r="H8" s="85"/>
      <c r="I8" s="85"/>
      <c r="J8" s="85"/>
      <c r="K8" s="85"/>
      <c r="L8" s="85"/>
    </row>
    <row r="9" ht="13.55" customHeight="1">
      <c r="A9" s="85"/>
      <c r="B9" s="85"/>
      <c r="C9" s="85"/>
      <c r="D9" s="87"/>
      <c r="E9" s="85"/>
      <c r="F9" s="85"/>
      <c r="G9" s="85"/>
      <c r="H9" s="85"/>
      <c r="I9" s="85"/>
      <c r="J9" s="85"/>
      <c r="K9" s="85"/>
      <c r="L9" s="85"/>
    </row>
    <row r="10" ht="13.55" customHeight="1">
      <c r="A10" s="85"/>
      <c r="B10" s="85"/>
      <c r="C10" s="85"/>
      <c r="D10" s="87"/>
      <c r="E10" s="85"/>
      <c r="F10" s="85"/>
      <c r="G10" s="85"/>
      <c r="H10" s="85"/>
      <c r="I10" s="85"/>
      <c r="J10" s="85"/>
      <c r="K10" s="85"/>
      <c r="L10" s="8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